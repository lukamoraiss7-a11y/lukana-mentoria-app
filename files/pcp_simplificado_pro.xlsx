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omo Usar" sheetId="1" state="visible" r:id="rId1"/>
    <sheet xmlns:r="http://schemas.openxmlformats.org/officeDocument/2006/relationships" name="2. Projetos Ativos" sheetId="2" state="visible" r:id="rId2"/>
    <sheet xmlns:r="http://schemas.openxmlformats.org/officeDocument/2006/relationships" name="3. Programação Semanal" sheetId="3" state="visible" r:id="rId3"/>
    <sheet xmlns:r="http://schemas.openxmlformats.org/officeDocument/2006/relationships" name="4. Gargalos" sheetId="4" state="visible" r:id="rId4"/>
    <sheet xmlns:r="http://schemas.openxmlformats.org/officeDocument/2006/relationships" name="5. Indicadores" sheetId="5" state="visible" r:id="rId5"/>
    <sheet xmlns:r="http://schemas.openxmlformats.org/officeDocument/2006/relationships" name="6. Tempo por Etap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  <sz val="12"/>
    </font>
    <font>
      <b val="1"/>
      <sz val="10"/>
    </font>
    <font>
      <sz val="10"/>
    </font>
    <font>
      <b val="1"/>
      <color rgb="00FFFFFF"/>
      <sz val="14"/>
    </font>
    <font>
      <b val="1"/>
      <color rgb="00FFFFFF"/>
    </font>
    <font>
      <b val="1"/>
    </font>
    <font>
      <b val="1"/>
      <sz val="11"/>
    </font>
    <font>
      <i val="1"/>
      <sz val="10"/>
    </font>
    <font>
      <b val="1"/>
      <sz val="12"/>
    </font>
    <font>
      <b val="1"/>
      <color rgb="001F4E78"/>
      <sz val="11"/>
    </font>
    <font/>
    <font>
      <i val="1"/>
      <sz val="9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  <fill>
      <patternFill patternType="solid">
        <fgColor rgb="00FFC7CE"/>
        <bgColor rgb="00FFC7CE"/>
      </patternFill>
    </fill>
    <fill>
      <patternFill patternType="solid">
        <fgColor rgb="00C6E0B4"/>
        <bgColor rgb="00C6E0B4"/>
      </patternFill>
    </fill>
    <fill>
      <patternFill patternType="solid">
        <fgColor rgb="00D9E1F2"/>
        <bgColor rgb="00D9E1F2"/>
      </patternFill>
    </fill>
    <fill>
      <patternFill patternType="solid">
        <fgColor rgb="00C00000"/>
        <bgColor rgb="00C00000"/>
      </patternFill>
    </fill>
    <fill>
      <patternFill patternType="solid">
        <fgColor rgb="00E7E6E6"/>
        <bgColor rgb="00E7E6E6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3" borderId="0" applyAlignment="1" pivotButton="0" quotePrefix="0" xfId="0">
      <alignment horizontal="center" wrapText="1"/>
    </xf>
    <xf numFmtId="0" fontId="7" fillId="0" borderId="0" pivotButton="0" quotePrefix="0" xfId="0"/>
    <xf numFmtId="164" fontId="0" fillId="0" borderId="0" pivotButton="0" quotePrefix="0" xfId="0"/>
    <xf numFmtId="1" fontId="0" fillId="4" borderId="0" pivotButton="0" quotePrefix="0" xfId="0"/>
    <xf numFmtId="0" fontId="7" fillId="5" borderId="0" pivotButton="0" quotePrefix="0" xfId="0"/>
    <xf numFmtId="0" fontId="0" fillId="0" borderId="0" applyAlignment="1" pivotButton="0" quotePrefix="0" xfId="0">
      <alignment wrapText="1"/>
    </xf>
    <xf numFmtId="1" fontId="0" fillId="6" borderId="0" pivotButton="0" quotePrefix="0" xfId="0"/>
    <xf numFmtId="0" fontId="8" fillId="0" borderId="0" pivotButton="0" quotePrefix="0" xfId="0"/>
    <xf numFmtId="0" fontId="6" fillId="3" borderId="0" applyAlignment="1" pivotButton="0" quotePrefix="0" xfId="0">
      <alignment horizontal="center"/>
    </xf>
    <xf numFmtId="0" fontId="0" fillId="7" borderId="0" applyAlignment="1" pivotButton="0" quotePrefix="0" xfId="0">
      <alignment horizontal="center" vertical="center" wrapText="1"/>
    </xf>
    <xf numFmtId="1" fontId="7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5" fillId="8" borderId="0" pivotButton="0" quotePrefix="0" xfId="0"/>
    <xf numFmtId="0" fontId="9" fillId="0" borderId="0" pivotButton="0" quotePrefix="0" xfId="0"/>
    <xf numFmtId="0" fontId="6" fillId="3" borderId="0" pivotButton="0" quotePrefix="0" xfId="0"/>
    <xf numFmtId="1" fontId="0" fillId="0" borderId="0" pivotButton="0" quotePrefix="0" xfId="0"/>
    <xf numFmtId="1" fontId="0" fillId="5" borderId="0" pivotButton="0" quotePrefix="0" xfId="0"/>
    <xf numFmtId="9" fontId="0" fillId="0" borderId="0" pivotButton="0" quotePrefix="0" xfId="0"/>
    <xf numFmtId="1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165" fontId="10" fillId="0" borderId="0" pivotButton="0" quotePrefix="0" xfId="0"/>
    <xf numFmtId="0" fontId="13" fillId="0" borderId="0" pivotButton="0" quotePrefix="0" xfId="0"/>
    <xf numFmtId="0" fontId="0" fillId="9" borderId="0" pivotButton="0" quotePrefix="0" xfId="0"/>
    <xf numFmtId="0" fontId="13" fillId="0" borderId="0" applyAlignment="1" pivotButton="0" quotePrefix="0" xfId="0">
      <alignment wrapText="1"/>
    </xf>
    <xf numFmtId="0" fontId="6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5" customWidth="1" min="1" max="1"/>
    <col width="65" customWidth="1" min="2" max="2"/>
  </cols>
  <sheetData>
    <row r="1" ht="30" customHeight="1">
      <c r="A1" s="1" t="inlineStr">
        <is>
          <t>PCP SIMPLIFICADO PRO — LUKANA MARCENARIA</t>
        </is>
      </c>
    </row>
    <row r="3"/>
    <row r="4">
      <c r="A4" s="2" t="inlineStr">
        <is>
          <t>BEM-VINDO AO PCP SIMPLIFICADO</t>
        </is>
      </c>
    </row>
    <row r="5"/>
    <row r="6">
      <c r="A6" s="2" t="inlineStr">
        <is>
          <t>PCP = Planejamento e Controle de Produção</t>
        </is>
      </c>
    </row>
    <row r="7">
      <c r="A7" s="2" t="inlineStr">
        <is>
          <t>Esta planilha organiza O QUE produzir, QUANDO produzir, e QUEM vai produzir.</t>
        </is>
      </c>
    </row>
    <row r="8"/>
    <row r="9">
      <c r="A9" s="2" t="inlineStr">
        <is>
          <t>📋 COMO USAR:</t>
        </is>
      </c>
    </row>
    <row r="10"/>
    <row r="11">
      <c r="A11" s="3" t="inlineStr">
        <is>
          <t>1️⃣ REGISTRE PROJETOS VENDIDOS</t>
        </is>
      </c>
      <c r="B11" s="4" t="inlineStr">
        <is>
          <t>Aba '2. Projetos Ativos' - todo projeto fechado entra aqui</t>
        </is>
      </c>
    </row>
    <row r="12">
      <c r="A12" s="3" t="inlineStr">
        <is>
          <t>2️⃣ DEFINA PRIORIDADE</t>
        </is>
      </c>
      <c r="B12" s="4" t="inlineStr">
        <is>
          <t>Ordene por prazo de entrega (não por ordem de venda)</t>
        </is>
      </c>
    </row>
    <row r="13">
      <c r="A13" s="3" t="inlineStr">
        <is>
          <t>3️⃣ PROGRAME PRODUÇÃO</t>
        </is>
      </c>
      <c r="B13" s="4" t="inlineStr">
        <is>
          <t>Aba '3. Programação Semanal' - distribui projetos entre marceneiros</t>
        </is>
      </c>
    </row>
    <row r="14">
      <c r="A14" s="3" t="inlineStr">
        <is>
          <t>4️⃣ ACOMPANHE STATUS</t>
        </is>
      </c>
      <c r="B14" s="4" t="inlineStr">
        <is>
          <t>Atualiza diariamente: em corte, em montagem, em acabamento, pronto</t>
        </is>
      </c>
    </row>
    <row r="15">
      <c r="A15" s="3" t="inlineStr">
        <is>
          <t>5️⃣ IDENTIFIQUE GARGALOS</t>
        </is>
      </c>
      <c r="B15" s="4" t="inlineStr">
        <is>
          <t>Aba '4. Gargalos' mostra onde a produção trava</t>
        </is>
      </c>
    </row>
    <row r="16">
      <c r="A16" s="3" t="inlineStr">
        <is>
          <t>6️⃣ ANALISE INDICADORES</t>
        </is>
      </c>
      <c r="B16" s="4" t="inlineStr">
        <is>
          <t>Aba '5. Indicadores' mostra taxa de entrega no prazo</t>
        </is>
      </c>
    </row>
    <row r="17"/>
    <row r="18">
      <c r="A18" s="2" t="inlineStr">
        <is>
          <t>⚠️ REGRA DE OURO:</t>
        </is>
      </c>
    </row>
    <row r="19">
      <c r="A19" s="2" t="inlineStr">
        <is>
          <t>NUNCA programe por ordem de venda. SEMPRE programe por prazo de entrega.</t>
        </is>
      </c>
    </row>
    <row r="20"/>
    <row r="21">
      <c r="A21" s="2" t="inlineStr">
        <is>
          <t>💡 EXEMPLO:</t>
        </is>
      </c>
    </row>
    <row r="22">
      <c r="A22" s="2" t="inlineStr">
        <is>
          <t>Projeto A vendido dia 10, entrega dia 30 (20 dias)</t>
        </is>
      </c>
    </row>
    <row r="23">
      <c r="A23" s="2" t="inlineStr">
        <is>
          <t>Projeto B vendido dia 15, entrega dia 22 (7 dias)</t>
        </is>
      </c>
    </row>
    <row r="24">
      <c r="A24" s="2" t="inlineStr">
        <is>
          <t>→ Produz PRIMEIRO o Projeto B (prazo menor)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  <col width="16" customWidth="1" min="8" max="8"/>
    <col width="14" customWidth="1" min="9" max="9"/>
    <col width="12" customWidth="1" min="10" max="10"/>
    <col width="30" customWidth="1" min="11" max="11"/>
  </cols>
  <sheetData>
    <row r="1">
      <c r="A1" s="5" t="inlineStr">
        <is>
          <t>📋 PROJETOS ATIVOS (EM PRODUÇÃO)</t>
        </is>
      </c>
    </row>
    <row r="3">
      <c r="A3" s="6" t="inlineStr">
        <is>
          <t>Projeto</t>
        </is>
      </c>
      <c r="B3" s="6" t="inlineStr">
        <is>
          <t>Cliente</t>
        </is>
      </c>
      <c r="C3" s="6" t="inlineStr">
        <is>
          <t>Ambiente</t>
        </is>
      </c>
      <c r="D3" s="6" t="inlineStr">
        <is>
          <t>m² Frontal</t>
        </is>
      </c>
      <c r="E3" s="6" t="inlineStr">
        <is>
          <t>Data Venda</t>
        </is>
      </c>
      <c r="F3" s="6" t="inlineStr">
        <is>
          <t>Prazo Entrega</t>
        </is>
      </c>
      <c r="G3" s="6" t="inlineStr">
        <is>
          <t>Dias Restantes</t>
        </is>
      </c>
      <c r="H3" s="6" t="inlineStr">
        <is>
          <t>Status</t>
        </is>
      </c>
      <c r="I3" s="6" t="inlineStr">
        <is>
          <t>Marceneiro</t>
        </is>
      </c>
      <c r="J3" s="6" t="inlineStr">
        <is>
          <t>Prioridade</t>
        </is>
      </c>
      <c r="K3" s="6" t="inlineStr">
        <is>
          <t>Observações</t>
        </is>
      </c>
    </row>
    <row r="4">
      <c r="A4" s="7" t="inlineStr">
        <is>
          <t>089</t>
        </is>
      </c>
      <c r="B4" t="inlineStr">
        <is>
          <t>João Silva</t>
        </is>
      </c>
      <c r="C4" t="inlineStr">
        <is>
          <t>Cozinha</t>
        </is>
      </c>
      <c r="D4" s="8" t="n">
        <v>10</v>
      </c>
      <c r="E4" t="inlineStr">
        <is>
          <t>15/04/2025</t>
        </is>
      </c>
      <c r="F4" t="inlineStr">
        <is>
          <t>02/05/2025</t>
        </is>
      </c>
      <c r="G4" s="9" t="n">
        <v>10</v>
      </c>
      <c r="H4" t="inlineStr">
        <is>
          <t>Em Montagem</t>
        </is>
      </c>
      <c r="I4" t="inlineStr">
        <is>
          <t>Carlos</t>
        </is>
      </c>
      <c r="J4" s="10" t="inlineStr">
        <is>
          <t>ALTA</t>
        </is>
      </c>
      <c r="K4" s="11" t="inlineStr">
        <is>
          <t>Cliente pediu urgência</t>
        </is>
      </c>
    </row>
    <row r="5">
      <c r="A5" s="7" t="inlineStr">
        <is>
          <t>090</t>
        </is>
      </c>
      <c r="B5" t="inlineStr">
        <is>
          <t>Maria Santos</t>
        </is>
      </c>
      <c r="C5" t="inlineStr">
        <is>
          <t>Closet</t>
        </is>
      </c>
      <c r="D5" s="8" t="n">
        <v>12</v>
      </c>
      <c r="E5" t="inlineStr">
        <is>
          <t>18/04/2025</t>
        </is>
      </c>
      <c r="F5" t="inlineStr">
        <is>
          <t>08/05/2025</t>
        </is>
      </c>
      <c r="G5" s="12" t="n">
        <v>16</v>
      </c>
      <c r="H5" t="inlineStr">
        <is>
          <t>Em Corte</t>
        </is>
      </c>
      <c r="I5" t="inlineStr">
        <is>
          <t>André</t>
        </is>
      </c>
      <c r="J5" t="inlineStr">
        <is>
          <t>MÉDIA</t>
        </is>
      </c>
      <c r="K5" s="11" t="inlineStr"/>
    </row>
    <row r="6">
      <c r="A6" s="7" t="inlineStr">
        <is>
          <t>091</t>
        </is>
      </c>
      <c r="B6" t="inlineStr">
        <is>
          <t>Pedro Costa</t>
        </is>
      </c>
      <c r="C6" t="inlineStr">
        <is>
          <t>Quarto</t>
        </is>
      </c>
      <c r="D6" s="8" t="n">
        <v>8</v>
      </c>
      <c r="E6" t="inlineStr">
        <is>
          <t>20/04/2025</t>
        </is>
      </c>
      <c r="F6" t="inlineStr">
        <is>
          <t>12/05/2025</t>
        </is>
      </c>
      <c r="G6" s="12" t="n">
        <v>20</v>
      </c>
      <c r="H6" t="inlineStr">
        <is>
          <t>Aguardando</t>
        </is>
      </c>
      <c r="J6" t="inlineStr">
        <is>
          <t>BAIXA</t>
        </is>
      </c>
      <c r="K6" s="11" t="inlineStr">
        <is>
          <t>Aguardando aprovação cor</t>
        </is>
      </c>
    </row>
    <row r="7">
      <c r="A7" s="7" t="inlineStr">
        <is>
          <t>092</t>
        </is>
      </c>
      <c r="B7" t="inlineStr">
        <is>
          <t>Ana Oliveira</t>
        </is>
      </c>
      <c r="C7" t="inlineStr">
        <is>
          <t>Home Office</t>
        </is>
      </c>
      <c r="D7" s="8" t="n">
        <v>6</v>
      </c>
      <c r="E7" t="inlineStr">
        <is>
          <t>21/04/2025</t>
        </is>
      </c>
      <c r="F7" t="inlineStr">
        <is>
          <t>05/05/2025</t>
        </is>
      </c>
      <c r="G7" s="12" t="n">
        <v>13</v>
      </c>
      <c r="H7" t="inlineStr">
        <is>
          <t>Em Corte</t>
        </is>
      </c>
      <c r="I7" t="inlineStr">
        <is>
          <t>Rodrigo</t>
        </is>
      </c>
      <c r="J7" s="10" t="inlineStr">
        <is>
          <t>ALTA</t>
        </is>
      </c>
      <c r="K7" s="11" t="inlineStr"/>
    </row>
  </sheetData>
  <mergeCells count="1">
    <mergeCell ref="A1:K1"/>
  </mergeCells>
  <dataValidations count="1">
    <dataValidation sqref="H4:H1000" showDropDown="0" showInputMessage="0" showErrorMessage="0" allowBlank="0" type="list">
      <formula1>"Aguardando,Em Corte,Em Montagem,Em Acabamento,Pronto,Entregue"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📅 PROGRAMAÇÃO SEMANAL DE PRODUÇÃO</t>
        </is>
      </c>
    </row>
    <row r="3">
      <c r="A3" s="13" t="inlineStr">
        <is>
          <t>Semana: 22/04 a 26/04/2025</t>
        </is>
      </c>
    </row>
    <row r="5">
      <c r="A5" s="14" t="inlineStr">
        <is>
          <t>Marceneiro</t>
        </is>
      </c>
      <c r="B5" s="14" t="inlineStr">
        <is>
          <t>Segunda</t>
        </is>
      </c>
      <c r="C5" s="14" t="inlineStr">
        <is>
          <t>Terça</t>
        </is>
      </c>
      <c r="D5" s="14" t="inlineStr">
        <is>
          <t>Quarta</t>
        </is>
      </c>
      <c r="E5" s="14" t="inlineStr">
        <is>
          <t>Quinta</t>
        </is>
      </c>
      <c r="F5" s="14" t="inlineStr">
        <is>
          <t>Sexta</t>
        </is>
      </c>
      <c r="G5" s="14" t="inlineStr">
        <is>
          <t>Sábado</t>
        </is>
      </c>
      <c r="H5" s="14" t="inlineStr">
        <is>
          <t>Horas Previstas</t>
        </is>
      </c>
    </row>
    <row r="6">
      <c r="A6" s="7" t="inlineStr">
        <is>
          <t>Carlos</t>
        </is>
      </c>
      <c r="B6" s="15" t="inlineStr">
        <is>
          <t>Proj 089
Montagem</t>
        </is>
      </c>
      <c r="C6" s="15" t="inlineStr">
        <is>
          <t>Proj 089
Montagem</t>
        </is>
      </c>
      <c r="D6" s="15" t="inlineStr">
        <is>
          <t>Proj 089
Acabamento</t>
        </is>
      </c>
      <c r="E6" s="15" t="inlineStr">
        <is>
          <t>Proj 089
Acabamento</t>
        </is>
      </c>
      <c r="F6" s="15" t="inlineStr">
        <is>
          <t>Proj 093
Corte</t>
        </is>
      </c>
      <c r="G6" s="15" t="inlineStr">
        <is>
          <t>Proj 093
Corte</t>
        </is>
      </c>
      <c r="H6" s="16" t="n">
        <v>40</v>
      </c>
    </row>
    <row r="7">
      <c r="A7" s="7" t="inlineStr">
        <is>
          <t>André</t>
        </is>
      </c>
      <c r="B7" s="15" t="inlineStr">
        <is>
          <t>Proj 090
Corte</t>
        </is>
      </c>
      <c r="C7" s="15" t="inlineStr">
        <is>
          <t>Proj 090
Corte</t>
        </is>
      </c>
      <c r="D7" s="15" t="inlineStr">
        <is>
          <t>Proj 090
Montagem</t>
        </is>
      </c>
      <c r="E7" s="15" t="inlineStr">
        <is>
          <t>Proj 090
Montagem</t>
        </is>
      </c>
      <c r="F7" s="15" t="inlineStr">
        <is>
          <t>Proj 090
Montagem</t>
        </is>
      </c>
      <c r="G7" s="17" t="inlineStr"/>
      <c r="H7" s="16" t="n">
        <v>40</v>
      </c>
    </row>
    <row r="8">
      <c r="A8" s="7" t="inlineStr">
        <is>
          <t>Rodrigo</t>
        </is>
      </c>
      <c r="B8" s="15" t="inlineStr">
        <is>
          <t>Proj 092
Corte</t>
        </is>
      </c>
      <c r="C8" s="15" t="inlineStr">
        <is>
          <t>Proj 092
Corte</t>
        </is>
      </c>
      <c r="D8" s="15" t="inlineStr">
        <is>
          <t>Proj 092
Montagem</t>
        </is>
      </c>
      <c r="E8" s="15" t="inlineStr">
        <is>
          <t>Proj 092
Montagem</t>
        </is>
      </c>
      <c r="F8" s="15" t="inlineStr">
        <is>
          <t>Proj 094
Corte</t>
        </is>
      </c>
      <c r="G8" s="15" t="inlineStr">
        <is>
          <t>Proj 094
Corte</t>
        </is>
      </c>
      <c r="H8" s="16" t="n">
        <v>40</v>
      </c>
    </row>
    <row r="9">
      <c r="A9" s="7" t="inlineStr">
        <is>
          <t>João</t>
        </is>
      </c>
      <c r="B9" s="17" t="inlineStr">
        <is>
          <t>Manutenção
Máquinas</t>
        </is>
      </c>
      <c r="C9" s="17" t="inlineStr">
        <is>
          <t>Disponível</t>
        </is>
      </c>
      <c r="D9" s="17" t="inlineStr">
        <is>
          <t>Disponível</t>
        </is>
      </c>
      <c r="E9" s="17" t="inlineStr">
        <is>
          <t>Disponível</t>
        </is>
      </c>
      <c r="F9" s="17" t="inlineStr">
        <is>
          <t>Disponível</t>
        </is>
      </c>
      <c r="G9" s="17" t="inlineStr"/>
      <c r="H9" s="16" t="n">
        <v>32</v>
      </c>
    </row>
  </sheetData>
  <mergeCells count="2">
    <mergeCell ref="A3:H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8" customWidth="1" min="4" max="4"/>
    <col width="40" customWidth="1" min="5" max="5"/>
  </cols>
  <sheetData>
    <row r="1">
      <c r="A1" s="18" t="inlineStr">
        <is>
          <t>🔴 IDENTIFICAÇÃO DE GARGALOS</t>
        </is>
      </c>
    </row>
    <row r="3">
      <c r="A3" s="19" t="inlineStr">
        <is>
          <t>Gargalo = etapa onde projetos ficam PARADOS esperando</t>
        </is>
      </c>
    </row>
    <row r="5">
      <c r="A5" s="20" t="inlineStr">
        <is>
          <t>Etapa</t>
        </is>
      </c>
      <c r="B5" s="20" t="inlineStr">
        <is>
          <t>Projetos Parados</t>
        </is>
      </c>
      <c r="C5" s="20" t="inlineStr">
        <is>
          <t>Tempo Médio (dias)</t>
        </is>
      </c>
      <c r="D5" s="20" t="inlineStr">
        <is>
          <t>Capacidade Atual</t>
        </is>
      </c>
      <c r="E5" s="20" t="inlineStr">
        <is>
          <t>Ação</t>
        </is>
      </c>
    </row>
    <row r="6">
      <c r="A6" s="7" t="inlineStr">
        <is>
          <t>Corte</t>
        </is>
      </c>
      <c r="B6" s="21" t="n">
        <v>2</v>
      </c>
      <c r="C6" s="21" t="n">
        <v>3</v>
      </c>
      <c r="D6" t="inlineStr">
        <is>
          <t>3 marceneiros</t>
        </is>
      </c>
      <c r="E6" s="11" t="inlineStr">
        <is>
          <t>✅ OK - distribuir melhor</t>
        </is>
      </c>
    </row>
    <row r="7">
      <c r="A7" s="7" t="inlineStr">
        <is>
          <t>Montagem</t>
        </is>
      </c>
      <c r="B7" s="22" t="n">
        <v>4</v>
      </c>
      <c r="C7" s="21" t="n">
        <v>5</v>
      </c>
      <c r="D7" t="inlineStr">
        <is>
          <t>3 marceneiros</t>
        </is>
      </c>
      <c r="E7" s="11" t="inlineStr">
        <is>
          <t>⚠️ GARGALO - considerar 4º marceneiro</t>
        </is>
      </c>
    </row>
    <row r="8">
      <c r="A8" s="7" t="inlineStr">
        <is>
          <t>Acabamento</t>
        </is>
      </c>
      <c r="B8" s="21" t="n">
        <v>1</v>
      </c>
      <c r="C8" s="21" t="n">
        <v>2</v>
      </c>
      <c r="D8" t="inlineStr">
        <is>
          <t>2 marceneiros</t>
        </is>
      </c>
      <c r="E8" s="11" t="inlineStr">
        <is>
          <t>✅ OK</t>
        </is>
      </c>
    </row>
    <row r="9">
      <c r="A9" s="7" t="inlineStr">
        <is>
          <t>Entrega</t>
        </is>
      </c>
      <c r="B9" s="21" t="n">
        <v>0</v>
      </c>
      <c r="C9" s="21" t="n">
        <v>1</v>
      </c>
      <c r="D9" t="inlineStr">
        <is>
          <t>1 motorista</t>
        </is>
      </c>
      <c r="E9" s="11" t="inlineStr">
        <is>
          <t>✅ OK</t>
        </is>
      </c>
    </row>
    <row r="12">
      <c r="A12" s="13" t="inlineStr">
        <is>
          <t>📊 CAPACIDADE PRODUTIVA ATUAL:</t>
        </is>
      </c>
    </row>
    <row r="14">
      <c r="A14" t="inlineStr">
        <is>
          <t>Marceneiros:</t>
        </is>
      </c>
      <c r="B14" t="n">
        <v>6</v>
      </c>
    </row>
    <row r="15">
      <c r="A15" t="inlineStr">
        <is>
          <t>Horas/dia por marceneiro:</t>
        </is>
      </c>
      <c r="B15" t="n">
        <v>8</v>
      </c>
    </row>
    <row r="16">
      <c r="A16" t="inlineStr">
        <is>
          <t>Dias úteis/mês:</t>
        </is>
      </c>
      <c r="B16" t="n">
        <v>22</v>
      </c>
    </row>
    <row r="17">
      <c r="A17" t="inlineStr">
        <is>
          <t>Eficiência média:</t>
        </is>
      </c>
      <c r="B17" s="23" t="n">
        <v>0.85</v>
      </c>
    </row>
    <row r="19">
      <c r="A19" s="7">
        <f> Produção mensal (m² reais):</f>
        <v/>
      </c>
      <c r="B19" s="24">
        <f>B14*B15*B16*B17*0.5</f>
        <v/>
      </c>
    </row>
    <row r="20">
      <c r="A20" s="7">
        <f> Produção mensal (m² frontais):</f>
        <v/>
      </c>
      <c r="B20" s="24">
        <f>B19/2.46</f>
        <v/>
      </c>
    </row>
    <row r="21">
      <c r="A21" s="7">
        <f> Projetos/mês (média 8m²):</f>
        <v/>
      </c>
      <c r="B21" s="24">
        <f>B20/8</f>
        <v/>
      </c>
    </row>
  </sheetData>
  <mergeCells count="2"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5" t="inlineStr">
        <is>
          <t>📈 INDICADORES DE PRODUÇÃO</t>
        </is>
      </c>
    </row>
    <row r="3">
      <c r="A3" t="inlineStr"/>
    </row>
    <row r="4">
      <c r="A4" s="25" t="inlineStr">
        <is>
          <t>PROJETOS EM PRODUÇÃO</t>
        </is>
      </c>
    </row>
    <row r="5">
      <c r="A5" s="7" t="inlineStr">
        <is>
          <t>Total de Projetos Ativos</t>
        </is>
      </c>
      <c r="B5" s="21">
        <f>COUNTA('2. Projetos Ativos'!A4:A1000)</f>
        <v/>
      </c>
    </row>
    <row r="6">
      <c r="A6" s="26" t="inlineStr">
        <is>
          <t>Projetos Atrasados (prazo &lt; 0)</t>
        </is>
      </c>
      <c r="B6" s="21">
        <f>COUNTIF('2. Projetos Ativos'!G:G,"&lt;0")</f>
        <v/>
      </c>
    </row>
    <row r="7">
      <c r="A7" s="26" t="inlineStr">
        <is>
          <t>Projetos com Prazo Crítico (&lt; 5 dias)</t>
        </is>
      </c>
      <c r="B7" s="21">
        <f>COUNTIF('2. Projetos Ativos'!G:G,"&lt;5")</f>
        <v/>
      </c>
    </row>
    <row r="8">
      <c r="A8" t="inlineStr"/>
    </row>
    <row r="9">
      <c r="A9" s="25" t="inlineStr">
        <is>
          <t>ENTREGA NO PRAZO</t>
        </is>
      </c>
    </row>
    <row r="10">
      <c r="A10" s="26" t="inlineStr">
        <is>
          <t>Projetos Entregues no Prazo (último mês)</t>
        </is>
      </c>
      <c r="B10" s="21" t="n">
        <v>18</v>
      </c>
    </row>
    <row r="11">
      <c r="A11" s="7" t="inlineStr">
        <is>
          <t>Total de Entregas (último mês)</t>
        </is>
      </c>
      <c r="B11" s="21" t="n">
        <v>20</v>
      </c>
    </row>
    <row r="12">
      <c r="A12" s="7" t="inlineStr">
        <is>
          <t>Taxa de Entrega no Prazo</t>
        </is>
      </c>
      <c r="B12" s="27">
        <f>B9/B10</f>
        <v/>
      </c>
    </row>
    <row r="13">
      <c r="A13" t="inlineStr"/>
    </row>
    <row r="14">
      <c r="A14" s="25" t="inlineStr">
        <is>
          <t>BENCHMARK:</t>
        </is>
      </c>
    </row>
    <row r="15">
      <c r="A15" t="inlineStr">
        <is>
          <t>&lt; 70%</t>
        </is>
      </c>
      <c r="B15" s="28" t="inlineStr">
        <is>
          <t>CRÍTICO - precisa melhorar processo</t>
        </is>
      </c>
    </row>
    <row r="16">
      <c r="A16" t="inlineStr">
        <is>
          <t>70-85%</t>
        </is>
      </c>
      <c r="B16" s="28" t="inlineStr">
        <is>
          <t>RAZOÁVEL - melhorias pontuais</t>
        </is>
      </c>
    </row>
    <row r="17">
      <c r="A17" t="inlineStr">
        <is>
          <t>85-95%</t>
        </is>
      </c>
      <c r="B17" s="28" t="inlineStr">
        <is>
          <t>MUITO BOM - padrão Lukana (92%)</t>
        </is>
      </c>
    </row>
    <row r="18">
      <c r="A18" t="inlineStr">
        <is>
          <t>&gt; 95%</t>
        </is>
      </c>
      <c r="B18" s="28" t="inlineStr">
        <is>
          <t>EXCELENTE - está sobrando tempo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5" customWidth="1" min="4" max="4"/>
  </cols>
  <sheetData>
    <row r="1">
      <c r="A1" s="5" t="inlineStr">
        <is>
          <t>⏱️ TEMPO MÉDIO POR ETAPA</t>
        </is>
      </c>
    </row>
    <row r="3">
      <c r="A3" s="19" t="inlineStr">
        <is>
          <t>Quanto tempo cada etapa DEVERIA levar (padrão Lukana)</t>
        </is>
      </c>
    </row>
    <row r="5">
      <c r="A5" s="20" t="inlineStr">
        <is>
          <t>Etapa</t>
        </is>
      </c>
      <c r="B5" s="20" t="inlineStr">
        <is>
          <t>Tempo Padrão</t>
        </is>
      </c>
      <c r="C5" s="20" t="inlineStr">
        <is>
          <t>Exemplo (Cozinha 8m²)</t>
        </is>
      </c>
      <c r="D5" s="20" t="inlineStr">
        <is>
          <t>Observação</t>
        </is>
      </c>
    </row>
    <row r="6">
      <c r="A6" s="7" t="inlineStr">
        <is>
          <t>Medição</t>
        </is>
      </c>
      <c r="B6" t="inlineStr">
        <is>
          <t>2 horas</t>
        </is>
      </c>
      <c r="C6" s="29" t="inlineStr">
        <is>
          <t>2h</t>
        </is>
      </c>
      <c r="D6" s="30" t="inlineStr">
        <is>
          <t>Visita técnica no cliente</t>
        </is>
      </c>
    </row>
    <row r="7">
      <c r="A7" s="7" t="inlineStr">
        <is>
          <t>Projeto 3D</t>
        </is>
      </c>
      <c r="B7" t="inlineStr">
        <is>
          <t>3 horas ou 2 dias</t>
        </is>
      </c>
      <c r="C7" s="29" t="inlineStr">
        <is>
          <t>3h</t>
        </is>
      </c>
      <c r="D7" s="30" t="inlineStr">
        <is>
          <t>Se for complexo, 2 dias</t>
        </is>
      </c>
    </row>
    <row r="8">
      <c r="A8" s="7" t="inlineStr">
        <is>
          <t>Corte</t>
        </is>
      </c>
      <c r="B8" t="inlineStr">
        <is>
          <t>1 dia/projeto</t>
        </is>
      </c>
      <c r="C8" s="29" t="inlineStr">
        <is>
          <t>1 dia</t>
        </is>
      </c>
      <c r="D8" s="30" t="inlineStr">
        <is>
          <t>Serra + tupia</t>
        </is>
      </c>
    </row>
    <row r="9">
      <c r="A9" s="7" t="inlineStr">
        <is>
          <t>Furação</t>
        </is>
      </c>
      <c r="B9" t="inlineStr">
        <is>
          <t>0,5 dia/projeto</t>
        </is>
      </c>
      <c r="C9" s="29" t="inlineStr">
        <is>
          <t>4 horas</t>
        </is>
      </c>
      <c r="D9" s="30" t="inlineStr">
        <is>
          <t>Furadeira múltipla</t>
        </is>
      </c>
    </row>
    <row r="10">
      <c r="A10" s="7" t="inlineStr">
        <is>
          <t>Montagem</t>
        </is>
      </c>
      <c r="B10" t="inlineStr">
        <is>
          <t>3-5 dias</t>
        </is>
      </c>
      <c r="C10" s="29" t="inlineStr">
        <is>
          <t>4 dias</t>
        </is>
      </c>
      <c r="D10" s="30" t="inlineStr">
        <is>
          <t>Depende da complexidade</t>
        </is>
      </c>
    </row>
    <row r="11">
      <c r="A11" s="7" t="inlineStr">
        <is>
          <t>Acabamento</t>
        </is>
      </c>
      <c r="B11" t="inlineStr">
        <is>
          <t>1-2 dias</t>
        </is>
      </c>
      <c r="C11" s="29" t="inlineStr">
        <is>
          <t>1,5 dia</t>
        </is>
      </c>
      <c r="D11" s="30" t="inlineStr">
        <is>
          <t>Lixar + retoques</t>
        </is>
      </c>
    </row>
    <row r="12">
      <c r="A12" s="7" t="inlineStr">
        <is>
          <t>Embalagem</t>
        </is>
      </c>
      <c r="B12" t="inlineStr">
        <is>
          <t>2 horas</t>
        </is>
      </c>
      <c r="C12" s="29" t="inlineStr">
        <is>
          <t>2h</t>
        </is>
      </c>
      <c r="D12" s="30" t="inlineStr">
        <is>
          <t>Proteção para transporte</t>
        </is>
      </c>
    </row>
    <row r="13">
      <c r="A13" s="7" t="inlineStr">
        <is>
          <t>Transporte</t>
        </is>
      </c>
      <c r="B13" t="inlineStr">
        <is>
          <t>0,5 dia</t>
        </is>
      </c>
      <c r="C13" s="29" t="inlineStr">
        <is>
          <t>4 horas</t>
        </is>
      </c>
      <c r="D13" s="30" t="inlineStr">
        <is>
          <t>Carregamento + viagem</t>
        </is>
      </c>
    </row>
    <row r="14">
      <c r="A14" s="7" t="inlineStr">
        <is>
          <t>Montagem no Cliente</t>
        </is>
      </c>
      <c r="B14" t="inlineStr">
        <is>
          <t>1-2 dias</t>
        </is>
      </c>
      <c r="C14" s="29" t="inlineStr">
        <is>
          <t>2 dias</t>
        </is>
      </c>
      <c r="D14" s="30" t="inlineStr">
        <is>
          <t>Instalação final</t>
        </is>
      </c>
    </row>
    <row r="16">
      <c r="A16" s="13" t="inlineStr">
        <is>
          <t>TOTAL:</t>
        </is>
      </c>
      <c r="B16" s="7" t="inlineStr">
        <is>
          <t>13 dias úteis (prazo técnico)</t>
        </is>
      </c>
    </row>
    <row r="17">
      <c r="A17" s="13" t="inlineStr">
        <is>
          <t>PRAZO PROMETIDO:</t>
        </is>
      </c>
      <c r="B17" s="31" t="inlineStr">
        <is>
          <t>18 dias úteis</t>
        </is>
      </c>
    </row>
    <row r="18">
      <c r="A18" s="13" t="inlineStr">
        <is>
          <t>BUFFER:</t>
        </is>
      </c>
      <c r="B18" s="7" t="inlineStr">
        <is>
          <t>5 dias (margem segurança)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2026-04-22T02:31:36Z</dcterms:created>
  <dcterms:modified xmlns:dcterms="http://purl.org/dc/terms/" xmlns:xsi="http://www.w3.org/2001/XMLSchema-instance" xsi:type="dcterms:W3CDTF">2026-04-22T02:32:12Z</dcterms:modified>
</cp:coreProperties>
</file>