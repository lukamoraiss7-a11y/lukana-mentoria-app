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mo Usar" sheetId="1" state="visible" r:id="rId1"/>
    <sheet xmlns:r="http://schemas.openxmlformats.org/officeDocument/2006/relationships" name="2. Critérios Objetivos" sheetId="2" state="visible" r:id="rId2"/>
    <sheet xmlns:r="http://schemas.openxmlformats.org/officeDocument/2006/relationships" name="3. Ambientes" sheetId="3" state="visible" r:id="rId3"/>
    <sheet xmlns:r="http://schemas.openxmlformats.org/officeDocument/2006/relationships" name="4. Painel do Proj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1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8899B4"/>
      <sz val="9"/>
    </font>
    <font>
      <name val="Arial"/>
      <b val="1"/>
      <color rgb="00FFFFFF"/>
      <sz val="9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C8922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4" borderId="0" pivotButton="0" quotePrefix="0" xfId="0"/>
    <xf numFmtId="0" fontId="5" fillId="2" borderId="0" pivotButton="0" quotePrefix="0" xfId="0"/>
    <xf numFmtId="0" fontId="8" fillId="0" borderId="0" applyAlignment="1" pivotButton="0" quotePrefix="0" xfId="0">
      <alignment wrapText="1"/>
    </xf>
    <xf numFmtId="0" fontId="9" fillId="2" borderId="0" applyAlignment="1" pivotButton="0" quotePrefix="0" xfId="0">
      <alignment horizontal="center" vertical="center" wrapText="1"/>
    </xf>
    <xf numFmtId="165" fontId="10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KPI 25/50/75/100 — APM FASE 4 (OPERAÇÃO)</t>
        </is>
      </c>
    </row>
    <row r="3">
      <c r="A3" s="2" t="inlineStr">
        <is>
          <t>BEM-VINDO AO KPI 25/50/75/100</t>
        </is>
      </c>
    </row>
    <row r="4">
      <c r="A4" s="3" t="inlineStr">
        <is>
          <t>Este é o indicador central da Fase 4: mede se a produção está no prazo, com critério objetivo — sem achismo.</t>
        </is>
      </c>
    </row>
    <row r="5">
      <c r="A5" s="3" t="inlineStr">
        <is>
          <t>Unidade de medida: AMBIENTE completo (cozinha, closet, quarto...), nunca móvel isolado.</t>
        </is>
      </c>
    </row>
    <row r="6">
      <c r="A6" s="2" t="inlineStr">
        <is>
          <t>📋 COMO USAR:</t>
        </is>
      </c>
    </row>
    <row r="7">
      <c r="A7" s="2" t="inlineStr">
        <is>
          <t>1️⃣ CONSULTE A ABA '2. CRITÉRIOS OBJETIVOS'</t>
        </is>
      </c>
      <c r="B7" s="4" t="inlineStr">
        <is>
          <t>O que exatamente conta como 25/50/75/100 na fábrica e na obra</t>
        </is>
      </c>
    </row>
    <row r="8">
      <c r="A8" s="2" t="inlineStr">
        <is>
          <t>2️⃣ CADASTRE NA ABA '3. AMBIENTES'</t>
        </is>
      </c>
      <c r="B8" s="4" t="inlineStr">
        <is>
          <t>1 linha por ambiente por fase (fábrica e obra são linhas separadas do mesmo ambiente)</t>
        </is>
      </c>
    </row>
    <row r="9">
      <c r="A9" s="2" t="inlineStr">
        <is>
          <t>3️⃣ PREENCHA AS DATAS PLANEJADAS</t>
        </is>
      </c>
      <c r="B9" s="4" t="inlineStr">
        <is>
          <t>Vêm do seu Cronograma Mestre — publique ANTES de iniciar a produção do ambiente</t>
        </is>
      </c>
    </row>
    <row r="10">
      <c r="A10" s="2" t="inlineStr">
        <is>
          <t>4️⃣ PREENCHA AS DATAS REAIS CONFORME ACONTECE</t>
        </is>
      </c>
      <c r="B10" s="4" t="inlineStr">
        <is>
          <t>Só preencha quando o critério da aba 2 for realmente cumprido — não antecipe</t>
        </is>
      </c>
    </row>
    <row r="11">
      <c r="A11" s="2" t="inlineStr">
        <is>
          <t>5️⃣ A PLANILHA CALCULA SOZINHA</t>
        </is>
      </c>
      <c r="B11" s="4" t="inlineStr">
        <is>
          <t>% planejado hoje, % real hoje, desvio e o semáforo (verde/amarelo/laranja/vermelho)</t>
        </is>
      </c>
    </row>
    <row r="12">
      <c r="A12" s="2" t="inlineStr">
        <is>
          <t>6️⃣ VEJA O RESULTADO POR PROJETO</t>
        </is>
      </c>
      <c r="B12" s="4" t="inlineStr">
        <is>
          <t>Aba '4. Painel do Projeto' — um ambiente em laranja ou vermelho derruba o projeto inteiro</t>
        </is>
      </c>
    </row>
    <row r="13">
      <c r="A13" s="3" t="inlineStr"/>
    </row>
    <row r="14">
      <c r="A14" s="3" t="inlineStr">
        <is>
          <t>Ferramenta 5 de 5 — Fase 4 do currículo APM (Operação)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 ht="30" customHeight="1">
      <c r="A1" s="1" t="inlineStr">
        <is>
          <t>📐 CRITÉRIOS OBJETIVOS — 25/50/75/100</t>
        </is>
      </c>
    </row>
    <row r="3">
      <c r="A3" s="5" t="inlineStr">
        <is>
          <t>FÁBRICA</t>
        </is>
      </c>
    </row>
    <row r="4">
      <c r="A4" s="6" t="inlineStr">
        <is>
          <t>Fábrica 25%</t>
        </is>
      </c>
      <c r="B4" s="7" t="inlineStr">
        <is>
          <t>Material do ambiente comprado e em pátio</t>
        </is>
      </c>
    </row>
    <row r="5">
      <c r="A5" s="6" t="inlineStr">
        <is>
          <t>Fábrica 50%</t>
        </is>
      </c>
      <c r="B5" s="7" t="inlineStr">
        <is>
          <t>Corte e usinagem concluídos</t>
        </is>
      </c>
    </row>
    <row r="6">
      <c r="A6" s="6" t="inlineStr">
        <is>
          <t>Fábrica 75%</t>
        </is>
      </c>
      <c r="B6" s="7" t="inlineStr">
        <is>
          <t>Pré-montagem finalizada</t>
        </is>
      </c>
    </row>
    <row r="7">
      <c r="A7" s="6" t="inlineStr">
        <is>
          <t>Fábrica 100%</t>
        </is>
      </c>
      <c r="B7" s="7" t="inlineStr">
        <is>
          <t>Embalado — pronto para expedir</t>
        </is>
      </c>
    </row>
    <row r="9">
      <c r="A9" s="8" t="inlineStr">
        <is>
          <t>OBRA</t>
        </is>
      </c>
    </row>
    <row r="10">
      <c r="A10" s="6" t="inlineStr">
        <is>
          <t>Obra 25%</t>
        </is>
      </c>
      <c r="B10" s="7" t="inlineStr">
        <is>
          <t>Material in loco (recebido na obra)</t>
        </is>
      </c>
    </row>
    <row r="11">
      <c r="A11" s="6" t="inlineStr">
        <is>
          <t>Obra 50%</t>
        </is>
      </c>
      <c r="B11" s="7" t="inlineStr">
        <is>
          <t>Montagem concluída</t>
        </is>
      </c>
    </row>
    <row r="12">
      <c r="A12" s="6" t="inlineStr">
        <is>
          <t>Obra 75%</t>
        </is>
      </c>
      <c r="B12" s="7" t="inlineStr">
        <is>
          <t>Ajustes e acabamentos prontos</t>
        </is>
      </c>
    </row>
    <row r="13">
      <c r="A13" s="6" t="inlineStr">
        <is>
          <t>Obra 100%</t>
        </is>
      </c>
      <c r="B13" s="7" t="inlineStr">
        <is>
          <t>Limpo e entregue ao cliente</t>
        </is>
      </c>
    </row>
    <row r="16">
      <c r="A16" s="9" t="inlineStr">
        <is>
          <t>SEMÁFORO DE ADERÊNCIA</t>
        </is>
      </c>
    </row>
    <row r="17">
      <c r="A17" s="6" t="inlineStr">
        <is>
          <t>🟢 Verde</t>
        </is>
      </c>
      <c r="B17" s="7" t="inlineStr">
        <is>
          <t>Desvio ≥ 0 pontos (no prazo ou adiantado)</t>
        </is>
      </c>
    </row>
    <row r="18">
      <c r="A18" s="6" t="inlineStr">
        <is>
          <t>🟡 Amarelo</t>
        </is>
      </c>
      <c r="B18" s="7" t="inlineStr">
        <is>
          <t>Desvio entre −1 e −10 pontos</t>
        </is>
      </c>
    </row>
    <row r="19">
      <c r="A19" s="6" t="inlineStr">
        <is>
          <t>🟠 Laranja</t>
        </is>
      </c>
      <c r="B19" s="7" t="inlineStr">
        <is>
          <t>Desvio entre −11 e −25 pontos</t>
        </is>
      </c>
    </row>
    <row r="20">
      <c r="A20" s="6" t="inlineStr">
        <is>
          <t>🔴 Vermelho</t>
        </is>
      </c>
      <c r="B20" s="7" t="inlineStr">
        <is>
          <t>Desvio &lt; −25 pontos</t>
        </is>
      </c>
    </row>
    <row r="23">
      <c r="A23" s="10" t="inlineStr">
        <is>
          <t>Desvio = % Real Hoje − % Planejado Hoje. Regra de agregação: o projeto só fica verde se TODOS os seus ambientes (fábrica + obra) estiverem aderentes — um ambiente em laranja ou vermelho derruba o projeto inteiro.</t>
        </is>
      </c>
    </row>
    <row r="24"/>
    <row r="25"/>
  </sheetData>
  <mergeCells count="5">
    <mergeCell ref="A16:B16"/>
    <mergeCell ref="A23:B25"/>
    <mergeCell ref="A1:B1"/>
    <mergeCell ref="A9:B9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4" customWidth="1" min="13" max="13"/>
    <col width="12" customWidth="1" min="14" max="14"/>
    <col width="16" customWidth="1" min="15" max="15"/>
  </cols>
  <sheetData>
    <row r="1" ht="30" customHeight="1">
      <c r="A1" s="1" t="inlineStr">
        <is>
          <t>📊 AMBIENTES — PLANEJADO x REAL</t>
        </is>
      </c>
    </row>
    <row r="3" ht="30" customHeight="1">
      <c r="A3" s="11" t="inlineStr">
        <is>
          <t>Projeto</t>
        </is>
      </c>
      <c r="B3" s="11" t="inlineStr">
        <is>
          <t>Ambiente</t>
        </is>
      </c>
      <c r="C3" s="11" t="inlineStr">
        <is>
          <t>Fase</t>
        </is>
      </c>
      <c r="D3" s="11" t="inlineStr">
        <is>
          <t>25% Planej.</t>
        </is>
      </c>
      <c r="E3" s="11" t="inlineStr">
        <is>
          <t>50% Planej.</t>
        </is>
      </c>
      <c r="F3" s="11" t="inlineStr">
        <is>
          <t>75% Planej.</t>
        </is>
      </c>
      <c r="G3" s="11" t="inlineStr">
        <is>
          <t>100% Planej.</t>
        </is>
      </c>
      <c r="H3" s="11" t="inlineStr">
        <is>
          <t>25% Real</t>
        </is>
      </c>
      <c r="I3" s="11" t="inlineStr">
        <is>
          <t>50% Real</t>
        </is>
      </c>
      <c r="J3" s="11" t="inlineStr">
        <is>
          <t>75% Real</t>
        </is>
      </c>
      <c r="K3" s="11" t="inlineStr">
        <is>
          <t>100% Real</t>
        </is>
      </c>
      <c r="L3" s="11" t="inlineStr">
        <is>
          <t>% Planej. Hoje</t>
        </is>
      </c>
      <c r="M3" s="11" t="inlineStr">
        <is>
          <t>% Real Hoje</t>
        </is>
      </c>
      <c r="N3" s="11" t="inlineStr">
        <is>
          <t>Desvio</t>
        </is>
      </c>
      <c r="O3" s="11" t="inlineStr">
        <is>
          <t>Status</t>
        </is>
      </c>
    </row>
    <row r="4" ht="18" customHeight="1">
      <c r="A4" s="7" t="inlineStr">
        <is>
          <t>089</t>
        </is>
      </c>
      <c r="B4" s="7" t="inlineStr">
        <is>
          <t>Cozinha</t>
        </is>
      </c>
      <c r="C4" s="7" t="inlineStr">
        <is>
          <t>Fábrica</t>
        </is>
      </c>
      <c r="D4" s="12" t="n">
        <v>46209</v>
      </c>
      <c r="E4" s="12" t="n">
        <v>46216</v>
      </c>
      <c r="F4" s="12" t="n">
        <v>46223</v>
      </c>
      <c r="G4" s="12" t="n">
        <v>46227</v>
      </c>
      <c r="H4" s="12" t="n">
        <v>46210</v>
      </c>
      <c r="I4" s="12" t="n">
        <v>46218</v>
      </c>
      <c r="J4" s="12" t="n"/>
      <c r="K4" s="12" t="n"/>
      <c r="L4" s="13">
        <f>IF(G4="","",IF(TODAY()&gt;=G4,100,IF(TODAY()&gt;=F4,75,IF(TODAY()&gt;=E4,50,IF(TODAY()&gt;=D4,25,0)))))</f>
        <v/>
      </c>
      <c r="M4" s="13">
        <f>IF(K4&lt;&gt;"",100,IF(J4&lt;&gt;"",75,IF(I4&lt;&gt;"",50,IF(H4&lt;&gt;"",25,0))))</f>
        <v/>
      </c>
      <c r="N4" s="13">
        <f>IF(L4="","",M4-L4)</f>
        <v/>
      </c>
      <c r="O4" s="14">
        <f>IF(M4=100,"✅ Concluído",IF(N4="","",IF(N4&gt;=0,"🟢 Verde",IF(N4&gt;=-10,"🟡 Amarelo",IF(N4&gt;=-25,"🟠 Laranja","🔴 Vermelho")))))</f>
        <v/>
      </c>
    </row>
    <row r="5" ht="18" customHeight="1">
      <c r="A5" s="7" t="inlineStr">
        <is>
          <t>090</t>
        </is>
      </c>
      <c r="B5" s="7" t="inlineStr">
        <is>
          <t>Closet</t>
        </is>
      </c>
      <c r="C5" s="7" t="inlineStr">
        <is>
          <t>Obra</t>
        </is>
      </c>
      <c r="D5" s="12" t="n">
        <v>46231</v>
      </c>
      <c r="E5" s="12" t="n">
        <v>46237</v>
      </c>
      <c r="F5" s="12" t="n">
        <v>46240</v>
      </c>
      <c r="G5" s="12" t="n">
        <v>46244</v>
      </c>
      <c r="H5" s="12" t="n"/>
      <c r="I5" s="12" t="n"/>
      <c r="J5" s="12" t="n"/>
      <c r="K5" s="12" t="n"/>
      <c r="L5" s="13">
        <f>IF(G5="","",IF(TODAY()&gt;=G5,100,IF(TODAY()&gt;=F5,75,IF(TODAY()&gt;=E5,50,IF(TODAY()&gt;=D5,25,0)))))</f>
        <v/>
      </c>
      <c r="M5" s="13">
        <f>IF(K5&lt;&gt;"",100,IF(J5&lt;&gt;"",75,IF(I5&lt;&gt;"",50,IF(H5&lt;&gt;"",25,0))))</f>
        <v/>
      </c>
      <c r="N5" s="13">
        <f>IF(L5="","",M5-L5)</f>
        <v/>
      </c>
      <c r="O5" s="14">
        <f>IF(M5=100,"✅ Concluído",IF(N5="","",IF(N5&gt;=0,"🟢 Verde",IF(N5&gt;=-10,"🟡 Amarelo",IF(N5&gt;=-25,"🟠 Laranja","🔴 Vermelho")))))</f>
        <v/>
      </c>
    </row>
    <row r="6" ht="18" customHeight="1">
      <c r="A6" s="7" t="inlineStr"/>
      <c r="B6" s="7" t="inlineStr"/>
      <c r="C6" s="7" t="inlineStr"/>
      <c r="D6" s="12" t="n"/>
      <c r="E6" s="12" t="n"/>
      <c r="F6" s="12" t="n"/>
      <c r="G6" s="12" t="n"/>
      <c r="H6" s="12" t="n"/>
      <c r="I6" s="12" t="n"/>
      <c r="J6" s="12" t="n"/>
      <c r="K6" s="12" t="n"/>
      <c r="L6" s="13">
        <f>IF(G6="","",IF(TODAY()&gt;=G6,100,IF(TODAY()&gt;=F6,75,IF(TODAY()&gt;=E6,50,IF(TODAY()&gt;=D6,25,0)))))</f>
        <v/>
      </c>
      <c r="M6" s="13">
        <f>IF(K6&lt;&gt;"",100,IF(J6&lt;&gt;"",75,IF(I6&lt;&gt;"",50,IF(H6&lt;&gt;"",25,0))))</f>
        <v/>
      </c>
      <c r="N6" s="13">
        <f>IF(L6="","",M6-L6)</f>
        <v/>
      </c>
      <c r="O6" s="14">
        <f>IF(M6=100,"✅ Concluído",IF(N6="","",IF(N6&gt;=0,"🟢 Verde",IF(N6&gt;=-10,"🟡 Amarelo",IF(N6&gt;=-25,"🟠 Laranja","🔴 Vermelho")))))</f>
        <v/>
      </c>
    </row>
    <row r="7" ht="18" customHeight="1">
      <c r="A7" s="7" t="inlineStr"/>
      <c r="B7" s="7" t="inlineStr"/>
      <c r="C7" s="7" t="inlineStr"/>
      <c r="D7" s="12" t="n"/>
      <c r="E7" s="12" t="n"/>
      <c r="F7" s="12" t="n"/>
      <c r="G7" s="12" t="n"/>
      <c r="H7" s="12" t="n"/>
      <c r="I7" s="12" t="n"/>
      <c r="J7" s="12" t="n"/>
      <c r="K7" s="12" t="n"/>
      <c r="L7" s="13">
        <f>IF(G7="","",IF(TODAY()&gt;=G7,100,IF(TODAY()&gt;=F7,75,IF(TODAY()&gt;=E7,50,IF(TODAY()&gt;=D7,25,0)))))</f>
        <v/>
      </c>
      <c r="M7" s="13">
        <f>IF(K7&lt;&gt;"",100,IF(J7&lt;&gt;"",75,IF(I7&lt;&gt;"",50,IF(H7&lt;&gt;"",25,0))))</f>
        <v/>
      </c>
      <c r="N7" s="13">
        <f>IF(L7="","",M7-L7)</f>
        <v/>
      </c>
      <c r="O7" s="14">
        <f>IF(M7=100,"✅ Concluído",IF(N7="","",IF(N7&gt;=0,"🟢 Verde",IF(N7&gt;=-10,"🟡 Amarelo",IF(N7&gt;=-25,"🟠 Laranja","🔴 Vermelho")))))</f>
        <v/>
      </c>
    </row>
    <row r="8" ht="18" customHeight="1">
      <c r="A8" s="7" t="inlineStr"/>
      <c r="B8" s="7" t="inlineStr"/>
      <c r="C8" s="7" t="inlineStr"/>
      <c r="D8" s="12" t="n"/>
      <c r="E8" s="12" t="n"/>
      <c r="F8" s="12" t="n"/>
      <c r="G8" s="12" t="n"/>
      <c r="H8" s="12" t="n"/>
      <c r="I8" s="12" t="n"/>
      <c r="J8" s="12" t="n"/>
      <c r="K8" s="12" t="n"/>
      <c r="L8" s="13">
        <f>IF(G8="","",IF(TODAY()&gt;=G8,100,IF(TODAY()&gt;=F8,75,IF(TODAY()&gt;=E8,50,IF(TODAY()&gt;=D8,25,0)))))</f>
        <v/>
      </c>
      <c r="M8" s="13">
        <f>IF(K8&lt;&gt;"",100,IF(J8&lt;&gt;"",75,IF(I8&lt;&gt;"",50,IF(H8&lt;&gt;"",25,0))))</f>
        <v/>
      </c>
      <c r="N8" s="13">
        <f>IF(L8="","",M8-L8)</f>
        <v/>
      </c>
      <c r="O8" s="14">
        <f>IF(M8=100,"✅ Concluído",IF(N8="","",IF(N8&gt;=0,"🟢 Verde",IF(N8&gt;=-10,"🟡 Amarelo",IF(N8&gt;=-25,"🟠 Laranja","🔴 Vermelho")))))</f>
        <v/>
      </c>
    </row>
    <row r="9" ht="18" customHeight="1">
      <c r="A9" s="7" t="inlineStr"/>
      <c r="B9" s="7" t="inlineStr"/>
      <c r="C9" s="7" t="inlineStr"/>
      <c r="D9" s="12" t="n"/>
      <c r="E9" s="12" t="n"/>
      <c r="F9" s="12" t="n"/>
      <c r="G9" s="12" t="n"/>
      <c r="H9" s="12" t="n"/>
      <c r="I9" s="12" t="n"/>
      <c r="J9" s="12" t="n"/>
      <c r="K9" s="12" t="n"/>
      <c r="L9" s="13">
        <f>IF(G9="","",IF(TODAY()&gt;=G9,100,IF(TODAY()&gt;=F9,75,IF(TODAY()&gt;=E9,50,IF(TODAY()&gt;=D9,25,0)))))</f>
        <v/>
      </c>
      <c r="M9" s="13">
        <f>IF(K9&lt;&gt;"",100,IF(J9&lt;&gt;"",75,IF(I9&lt;&gt;"",50,IF(H9&lt;&gt;"",25,0))))</f>
        <v/>
      </c>
      <c r="N9" s="13">
        <f>IF(L9="","",M9-L9)</f>
        <v/>
      </c>
      <c r="O9" s="14">
        <f>IF(M9=100,"✅ Concluído",IF(N9="","",IF(N9&gt;=0,"🟢 Verde",IF(N9&gt;=-10,"🟡 Amarelo",IF(N9&gt;=-25,"🟠 Laranja","🔴 Vermelho")))))</f>
        <v/>
      </c>
    </row>
    <row r="10" ht="18" customHeight="1">
      <c r="A10" s="7" t="inlineStr"/>
      <c r="B10" s="7" t="inlineStr"/>
      <c r="C10" s="7" t="inlineStr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3">
        <f>IF(G10="","",IF(TODAY()&gt;=G10,100,IF(TODAY()&gt;=F10,75,IF(TODAY()&gt;=E10,50,IF(TODAY()&gt;=D10,25,0)))))</f>
        <v/>
      </c>
      <c r="M10" s="13">
        <f>IF(K10&lt;&gt;"",100,IF(J10&lt;&gt;"",75,IF(I10&lt;&gt;"",50,IF(H10&lt;&gt;"",25,0))))</f>
        <v/>
      </c>
      <c r="N10" s="13">
        <f>IF(L10="","",M10-L10)</f>
        <v/>
      </c>
      <c r="O10" s="14">
        <f>IF(M10=100,"✅ Concluído",IF(N10="","",IF(N10&gt;=0,"🟢 Verde",IF(N10&gt;=-10,"🟡 Amarelo",IF(N10&gt;=-25,"🟠 Laranja","🔴 Vermelho")))))</f>
        <v/>
      </c>
    </row>
    <row r="11" ht="18" customHeight="1">
      <c r="A11" s="7" t="inlineStr"/>
      <c r="B11" s="7" t="inlineStr"/>
      <c r="C11" s="7" t="inlineStr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3">
        <f>IF(G11="","",IF(TODAY()&gt;=G11,100,IF(TODAY()&gt;=F11,75,IF(TODAY()&gt;=E11,50,IF(TODAY()&gt;=D11,25,0)))))</f>
        <v/>
      </c>
      <c r="M11" s="13">
        <f>IF(K11&lt;&gt;"",100,IF(J11&lt;&gt;"",75,IF(I11&lt;&gt;"",50,IF(H11&lt;&gt;"",25,0))))</f>
        <v/>
      </c>
      <c r="N11" s="13">
        <f>IF(L11="","",M11-L11)</f>
        <v/>
      </c>
      <c r="O11" s="14">
        <f>IF(M11=100,"✅ Concluído",IF(N11="","",IF(N11&gt;=0,"🟢 Verde",IF(N11&gt;=-10,"🟡 Amarelo",IF(N11&gt;=-25,"🟠 Laranja","🔴 Vermelho")))))</f>
        <v/>
      </c>
    </row>
    <row r="12" ht="18" customHeight="1">
      <c r="A12" s="7" t="inlineStr"/>
      <c r="B12" s="7" t="inlineStr"/>
      <c r="C12" s="7" t="inlineStr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>
        <f>IF(G12="","",IF(TODAY()&gt;=G12,100,IF(TODAY()&gt;=F12,75,IF(TODAY()&gt;=E12,50,IF(TODAY()&gt;=D12,25,0)))))</f>
        <v/>
      </c>
      <c r="M12" s="13">
        <f>IF(K12&lt;&gt;"",100,IF(J12&lt;&gt;"",75,IF(I12&lt;&gt;"",50,IF(H12&lt;&gt;"",25,0))))</f>
        <v/>
      </c>
      <c r="N12" s="13">
        <f>IF(L12="","",M12-L12)</f>
        <v/>
      </c>
      <c r="O12" s="14">
        <f>IF(M12=100,"✅ Concluído",IF(N12="","",IF(N12&gt;=0,"🟢 Verde",IF(N12&gt;=-10,"🟡 Amarelo",IF(N12&gt;=-25,"🟠 Laranja","🔴 Vermelho")))))</f>
        <v/>
      </c>
    </row>
    <row r="13" ht="18" customHeight="1">
      <c r="A13" s="7" t="inlineStr"/>
      <c r="B13" s="7" t="inlineStr"/>
      <c r="C13" s="7" t="inlineStr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3">
        <f>IF(G13="","",IF(TODAY()&gt;=G13,100,IF(TODAY()&gt;=F13,75,IF(TODAY()&gt;=E13,50,IF(TODAY()&gt;=D13,25,0)))))</f>
        <v/>
      </c>
      <c r="M13" s="13">
        <f>IF(K13&lt;&gt;"",100,IF(J13&lt;&gt;"",75,IF(I13&lt;&gt;"",50,IF(H13&lt;&gt;"",25,0))))</f>
        <v/>
      </c>
      <c r="N13" s="13">
        <f>IF(L13="","",M13-L13)</f>
        <v/>
      </c>
      <c r="O13" s="14">
        <f>IF(M13=100,"✅ Concluído",IF(N13="","",IF(N13&gt;=0,"🟢 Verde",IF(N13&gt;=-10,"🟡 Amarelo",IF(N13&gt;=-25,"🟠 Laranja","🔴 Vermelho")))))</f>
        <v/>
      </c>
    </row>
    <row r="14" ht="18" customHeight="1">
      <c r="A14" s="7" t="inlineStr"/>
      <c r="B14" s="7" t="inlineStr"/>
      <c r="C14" s="7" t="inlineStr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>
        <f>IF(G14="","",IF(TODAY()&gt;=G14,100,IF(TODAY()&gt;=F14,75,IF(TODAY()&gt;=E14,50,IF(TODAY()&gt;=D14,25,0)))))</f>
        <v/>
      </c>
      <c r="M14" s="13">
        <f>IF(K14&lt;&gt;"",100,IF(J14&lt;&gt;"",75,IF(I14&lt;&gt;"",50,IF(H14&lt;&gt;"",25,0))))</f>
        <v/>
      </c>
      <c r="N14" s="13">
        <f>IF(L14="","",M14-L14)</f>
        <v/>
      </c>
      <c r="O14" s="14">
        <f>IF(M14=100,"✅ Concluído",IF(N14="","",IF(N14&gt;=0,"🟢 Verde",IF(N14&gt;=-10,"🟡 Amarelo",IF(N14&gt;=-25,"🟠 Laranja","🔴 Vermelho")))))</f>
        <v/>
      </c>
    </row>
    <row r="15" ht="18" customHeight="1">
      <c r="A15" s="7" t="inlineStr"/>
      <c r="B15" s="7" t="inlineStr"/>
      <c r="C15" s="7" t="inlineStr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>
        <f>IF(G15="","",IF(TODAY()&gt;=G15,100,IF(TODAY()&gt;=F15,75,IF(TODAY()&gt;=E15,50,IF(TODAY()&gt;=D15,25,0)))))</f>
        <v/>
      </c>
      <c r="M15" s="13">
        <f>IF(K15&lt;&gt;"",100,IF(J15&lt;&gt;"",75,IF(I15&lt;&gt;"",50,IF(H15&lt;&gt;"",25,0))))</f>
        <v/>
      </c>
      <c r="N15" s="13">
        <f>IF(L15="","",M15-L15)</f>
        <v/>
      </c>
      <c r="O15" s="14">
        <f>IF(M15=100,"✅ Concluído",IF(N15="","",IF(N15&gt;=0,"🟢 Verde",IF(N15&gt;=-10,"🟡 Amarelo",IF(N15&gt;=-25,"🟠 Laranja","🔴 Vermelho")))))</f>
        <v/>
      </c>
    </row>
    <row r="16" ht="18" customHeight="1">
      <c r="A16" s="7" t="inlineStr"/>
      <c r="B16" s="7" t="inlineStr"/>
      <c r="C16" s="7" t="inlineStr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>
        <f>IF(G16="","",IF(TODAY()&gt;=G16,100,IF(TODAY()&gt;=F16,75,IF(TODAY()&gt;=E16,50,IF(TODAY()&gt;=D16,25,0)))))</f>
        <v/>
      </c>
      <c r="M16" s="13">
        <f>IF(K16&lt;&gt;"",100,IF(J16&lt;&gt;"",75,IF(I16&lt;&gt;"",50,IF(H16&lt;&gt;"",25,0))))</f>
        <v/>
      </c>
      <c r="N16" s="13">
        <f>IF(L16="","",M16-L16)</f>
        <v/>
      </c>
      <c r="O16" s="14">
        <f>IF(M16=100,"✅ Concluído",IF(N16="","",IF(N16&gt;=0,"🟢 Verde",IF(N16&gt;=-10,"🟡 Amarelo",IF(N16&gt;=-25,"🟠 Laranja","🔴 Vermelho")))))</f>
        <v/>
      </c>
    </row>
    <row r="17" ht="18" customHeight="1">
      <c r="A17" s="7" t="inlineStr"/>
      <c r="B17" s="7" t="inlineStr"/>
      <c r="C17" s="7" t="inlineStr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>
        <f>IF(G17="","",IF(TODAY()&gt;=G17,100,IF(TODAY()&gt;=F17,75,IF(TODAY()&gt;=E17,50,IF(TODAY()&gt;=D17,25,0)))))</f>
        <v/>
      </c>
      <c r="M17" s="13">
        <f>IF(K17&lt;&gt;"",100,IF(J17&lt;&gt;"",75,IF(I17&lt;&gt;"",50,IF(H17&lt;&gt;"",25,0))))</f>
        <v/>
      </c>
      <c r="N17" s="13">
        <f>IF(L17="","",M17-L17)</f>
        <v/>
      </c>
      <c r="O17" s="14">
        <f>IF(M17=100,"✅ Concluído",IF(N17="","",IF(N17&gt;=0,"🟢 Verde",IF(N17&gt;=-10,"🟡 Amarelo",IF(N17&gt;=-25,"🟠 Laranja","🔴 Vermelho")))))</f>
        <v/>
      </c>
    </row>
    <row r="18" ht="18" customHeight="1">
      <c r="A18" s="7" t="inlineStr"/>
      <c r="B18" s="7" t="inlineStr"/>
      <c r="C18" s="7" t="inlineStr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3">
        <f>IF(G18="","",IF(TODAY()&gt;=G18,100,IF(TODAY()&gt;=F18,75,IF(TODAY()&gt;=E18,50,IF(TODAY()&gt;=D18,25,0)))))</f>
        <v/>
      </c>
      <c r="M18" s="13">
        <f>IF(K18&lt;&gt;"",100,IF(J18&lt;&gt;"",75,IF(I18&lt;&gt;"",50,IF(H18&lt;&gt;"",25,0))))</f>
        <v/>
      </c>
      <c r="N18" s="13">
        <f>IF(L18="","",M18-L18)</f>
        <v/>
      </c>
      <c r="O18" s="14">
        <f>IF(M18=100,"✅ Concluído",IF(N18="","",IF(N18&gt;=0,"🟢 Verde",IF(N18&gt;=-10,"🟡 Amarelo",IF(N18&gt;=-25,"🟠 Laranja","🔴 Vermelho")))))</f>
        <v/>
      </c>
    </row>
    <row r="19" ht="18" customHeight="1">
      <c r="A19" s="7" t="inlineStr"/>
      <c r="B19" s="7" t="inlineStr"/>
      <c r="C19" s="7" t="inlineStr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3">
        <f>IF(G19="","",IF(TODAY()&gt;=G19,100,IF(TODAY()&gt;=F19,75,IF(TODAY()&gt;=E19,50,IF(TODAY()&gt;=D19,25,0)))))</f>
        <v/>
      </c>
      <c r="M19" s="13">
        <f>IF(K19&lt;&gt;"",100,IF(J19&lt;&gt;"",75,IF(I19&lt;&gt;"",50,IF(H19&lt;&gt;"",25,0))))</f>
        <v/>
      </c>
      <c r="N19" s="13">
        <f>IF(L19="","",M19-L19)</f>
        <v/>
      </c>
      <c r="O19" s="14">
        <f>IF(M19=100,"✅ Concluído",IF(N19="","",IF(N19&gt;=0,"🟢 Verde",IF(N19&gt;=-10,"🟡 Amarelo",IF(N19&gt;=-25,"🟠 Laranja","🔴 Vermelho")))))</f>
        <v/>
      </c>
    </row>
    <row r="20" ht="18" customHeight="1">
      <c r="A20" s="7" t="inlineStr"/>
      <c r="B20" s="7" t="inlineStr"/>
      <c r="C20" s="7" t="inlineStr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3">
        <f>IF(G20="","",IF(TODAY()&gt;=G20,100,IF(TODAY()&gt;=F20,75,IF(TODAY()&gt;=E20,50,IF(TODAY()&gt;=D20,25,0)))))</f>
        <v/>
      </c>
      <c r="M20" s="13">
        <f>IF(K20&lt;&gt;"",100,IF(J20&lt;&gt;"",75,IF(I20&lt;&gt;"",50,IF(H20&lt;&gt;"",25,0))))</f>
        <v/>
      </c>
      <c r="N20" s="13">
        <f>IF(L20="","",M20-L20)</f>
        <v/>
      </c>
      <c r="O20" s="14">
        <f>IF(M20=100,"✅ Concluído",IF(N20="","",IF(N20&gt;=0,"🟢 Verde",IF(N20&gt;=-10,"🟡 Amarelo",IF(N20&gt;=-25,"🟠 Laranja","🔴 Vermelho")))))</f>
        <v/>
      </c>
    </row>
    <row r="21" ht="18" customHeight="1">
      <c r="A21" s="7" t="inlineStr"/>
      <c r="B21" s="7" t="inlineStr"/>
      <c r="C21" s="7" t="inlineStr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3">
        <f>IF(G21="","",IF(TODAY()&gt;=G21,100,IF(TODAY()&gt;=F21,75,IF(TODAY()&gt;=E21,50,IF(TODAY()&gt;=D21,25,0)))))</f>
        <v/>
      </c>
      <c r="M21" s="13">
        <f>IF(K21&lt;&gt;"",100,IF(J21&lt;&gt;"",75,IF(I21&lt;&gt;"",50,IF(H21&lt;&gt;"",25,0))))</f>
        <v/>
      </c>
      <c r="N21" s="13">
        <f>IF(L21="","",M21-L21)</f>
        <v/>
      </c>
      <c r="O21" s="14">
        <f>IF(M21=100,"✅ Concluído",IF(N21="","",IF(N21&gt;=0,"🟢 Verde",IF(N21&gt;=-10,"🟡 Amarelo",IF(N21&gt;=-25,"🟠 Laranja","🔴 Vermelho")))))</f>
        <v/>
      </c>
    </row>
    <row r="22" ht="18" customHeight="1">
      <c r="A22" s="7" t="inlineStr"/>
      <c r="B22" s="7" t="inlineStr"/>
      <c r="C22" s="7" t="inlineStr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3">
        <f>IF(G22="","",IF(TODAY()&gt;=G22,100,IF(TODAY()&gt;=F22,75,IF(TODAY()&gt;=E22,50,IF(TODAY()&gt;=D22,25,0)))))</f>
        <v/>
      </c>
      <c r="M22" s="13">
        <f>IF(K22&lt;&gt;"",100,IF(J22&lt;&gt;"",75,IF(I22&lt;&gt;"",50,IF(H22&lt;&gt;"",25,0))))</f>
        <v/>
      </c>
      <c r="N22" s="13">
        <f>IF(L22="","",M22-L22)</f>
        <v/>
      </c>
      <c r="O22" s="14">
        <f>IF(M22=100,"✅ Concluído",IF(N22="","",IF(N22&gt;=0,"🟢 Verde",IF(N22&gt;=-10,"🟡 Amarelo",IF(N22&gt;=-25,"🟠 Laranja","🔴 Vermelho")))))</f>
        <v/>
      </c>
    </row>
    <row r="23" ht="18" customHeight="1">
      <c r="A23" s="7" t="inlineStr"/>
      <c r="B23" s="7" t="inlineStr"/>
      <c r="C23" s="7" t="inlineStr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3">
        <f>IF(G23="","",IF(TODAY()&gt;=G23,100,IF(TODAY()&gt;=F23,75,IF(TODAY()&gt;=E23,50,IF(TODAY()&gt;=D23,25,0)))))</f>
        <v/>
      </c>
      <c r="M23" s="13">
        <f>IF(K23&lt;&gt;"",100,IF(J23&lt;&gt;"",75,IF(I23&lt;&gt;"",50,IF(H23&lt;&gt;"",25,0))))</f>
        <v/>
      </c>
      <c r="N23" s="13">
        <f>IF(L23="","",M23-L23)</f>
        <v/>
      </c>
      <c r="O23" s="14">
        <f>IF(M23=100,"✅ Concluído",IF(N23="","",IF(N23&gt;=0,"🟢 Verde",IF(N23&gt;=-10,"🟡 Amarelo",IF(N23&gt;=-25,"🟠 Laranja","🔴 Vermelho")))))</f>
        <v/>
      </c>
    </row>
    <row r="24" ht="18" customHeight="1">
      <c r="A24" s="7" t="inlineStr"/>
      <c r="B24" s="7" t="inlineStr"/>
      <c r="C24" s="7" t="inlineStr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3">
        <f>IF(G24="","",IF(TODAY()&gt;=G24,100,IF(TODAY()&gt;=F24,75,IF(TODAY()&gt;=E24,50,IF(TODAY()&gt;=D24,25,0)))))</f>
        <v/>
      </c>
      <c r="M24" s="13">
        <f>IF(K24&lt;&gt;"",100,IF(J24&lt;&gt;"",75,IF(I24&lt;&gt;"",50,IF(H24&lt;&gt;"",25,0))))</f>
        <v/>
      </c>
      <c r="N24" s="13">
        <f>IF(L24="","",M24-L24)</f>
        <v/>
      </c>
      <c r="O24" s="14">
        <f>IF(M24=100,"✅ Concluído",IF(N24="","",IF(N24&gt;=0,"🟢 Verde",IF(N24&gt;=-10,"🟡 Amarelo",IF(N24&gt;=-25,"🟠 Laranja","🔴 Vermelho")))))</f>
        <v/>
      </c>
    </row>
    <row r="25" ht="18" customHeight="1">
      <c r="A25" s="7" t="inlineStr"/>
      <c r="B25" s="7" t="inlineStr"/>
      <c r="C25" s="7" t="inlineStr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3">
        <f>IF(G25="","",IF(TODAY()&gt;=G25,100,IF(TODAY()&gt;=F25,75,IF(TODAY()&gt;=E25,50,IF(TODAY()&gt;=D25,25,0)))))</f>
        <v/>
      </c>
      <c r="M25" s="13">
        <f>IF(K25&lt;&gt;"",100,IF(J25&lt;&gt;"",75,IF(I25&lt;&gt;"",50,IF(H25&lt;&gt;"",25,0))))</f>
        <v/>
      </c>
      <c r="N25" s="13">
        <f>IF(L25="","",M25-L25)</f>
        <v/>
      </c>
      <c r="O25" s="14">
        <f>IF(M25=100,"✅ Concluído",IF(N25="","",IF(N25&gt;=0,"🟢 Verde",IF(N25&gt;=-10,"🟡 Amarelo",IF(N25&gt;=-25,"🟠 Laranja","🔴 Vermelho")))))</f>
        <v/>
      </c>
    </row>
    <row r="27">
      <c r="A27" s="10" t="inlineStr">
        <is>
          <t>Datas em azul = preenchidas por você (Planejado vem do Cronograma Mestre; Real só quando o critério da aba 2 for cumprido). Colunas cinza (% Planej., % Real, Desvio, Status) são calculadas automaticamente.</t>
        </is>
      </c>
    </row>
    <row r="28"/>
    <row r="29"/>
  </sheetData>
  <mergeCells count="2">
    <mergeCell ref="A27:H29"/>
    <mergeCell ref="A1:O1"/>
  </mergeCells>
  <dataValidations count="1">
    <dataValidation sqref="C4 C5 C6 C7 C8 C9 C10 C11 C12 C13 C14 C15 C16 C17 C18 C19 C20 C21 C22 C23 C24 C25" showDropDown="0" showInputMessage="0" showErrorMessage="0" allowBlank="1" type="list">
      <formula1>"Fábrica,Obra"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0" customHeight="1">
      <c r="A1" s="1" t="inlineStr">
        <is>
          <t>🚦 PAINEL DO PROJETO — AGREGAÇÃO</t>
        </is>
      </c>
    </row>
    <row r="3" ht="30" customHeight="1">
      <c r="A3" s="11" t="inlineStr">
        <is>
          <t>Projeto</t>
        </is>
      </c>
      <c r="B3" s="11" t="inlineStr">
        <is>
          <t>Ambientes em Vermelho</t>
        </is>
      </c>
      <c r="C3" s="11" t="inlineStr">
        <is>
          <t>Ambientes em Laranja</t>
        </is>
      </c>
      <c r="D3" s="11" t="inlineStr">
        <is>
          <t>Ambientes em Amarelo</t>
        </is>
      </c>
      <c r="E3" s="11" t="inlineStr">
        <is>
          <t>Total de Ambientes</t>
        </is>
      </c>
      <c r="F3" s="11" t="inlineStr">
        <is>
          <t>Status do Projeto</t>
        </is>
      </c>
    </row>
    <row r="4">
      <c r="A4" s="15" t="inlineStr">
        <is>
          <t>089</t>
        </is>
      </c>
      <c r="B4" s="13">
        <f>COUNTIFS('3. Ambientes'!$A:$A,A4,'3. Ambientes'!$O:$O,"🔴 Vermelho")</f>
        <v/>
      </c>
      <c r="C4" s="13">
        <f>COUNTIFS('3. Ambientes'!$A:$A,A4,'3. Ambientes'!$O:$O,"🟠 Laranja")</f>
        <v/>
      </c>
      <c r="D4" s="13">
        <f>COUNTIFS('3. Ambientes'!$A:$A,A4,'3. Ambientes'!$O:$O,"🟡 Amarelo")</f>
        <v/>
      </c>
      <c r="E4" s="13">
        <f>COUNTIF('3. Ambientes'!$A:$A,A4)</f>
        <v/>
      </c>
      <c r="F4" s="14">
        <f>IF(B4&gt;0,"🔴 Vermelho",IF(C4&gt;0,"🟠 Laranja",IF(D4&gt;0,"🟡 Amarelo","🟢 Verde")))</f>
        <v/>
      </c>
    </row>
    <row r="5">
      <c r="A5" s="15" t="inlineStr">
        <is>
          <t>090</t>
        </is>
      </c>
      <c r="B5" s="13">
        <f>COUNTIFS('3. Ambientes'!$A:$A,A5,'3. Ambientes'!$O:$O,"🔴 Vermelho")</f>
        <v/>
      </c>
      <c r="C5" s="13">
        <f>COUNTIFS('3. Ambientes'!$A:$A,A5,'3. Ambientes'!$O:$O,"🟠 Laranja")</f>
        <v/>
      </c>
      <c r="D5" s="13">
        <f>COUNTIFS('3. Ambientes'!$A:$A,A5,'3. Ambientes'!$O:$O,"🟡 Amarelo")</f>
        <v/>
      </c>
      <c r="E5" s="13">
        <f>COUNTIF('3. Ambientes'!$A:$A,A5)</f>
        <v/>
      </c>
      <c r="F5" s="14">
        <f>IF(B5&gt;0,"🔴 Vermelho",IF(C5&gt;0,"🟠 Laranja",IF(D5&gt;0,"🟡 Amarelo","🟢 Verde")))</f>
        <v/>
      </c>
    </row>
    <row r="6">
      <c r="A6" s="16" t="n"/>
      <c r="B6" s="16">
        <f>IF(A6="","",COUNTIFS('3. Ambientes'!$A:$A,A6,'3. Ambientes'!$O:$O,"🔴 Vermelho"))</f>
        <v/>
      </c>
      <c r="C6" s="16">
        <f>IF(A6="","",COUNTIFS('3. Ambientes'!$A:$A,A6,'3. Ambientes'!$O:$O,"🟠 Laranja"))</f>
        <v/>
      </c>
      <c r="D6" s="16">
        <f>IF(A6="","",COUNTIFS('3. Ambientes'!$A:$A,A6,'3. Ambientes'!$O:$O,"🟡 Amarelo"))</f>
        <v/>
      </c>
      <c r="E6" s="16">
        <f>IF(A6="","",COUNTIF('3. Ambientes'!$A:$A,A6))</f>
        <v/>
      </c>
      <c r="F6" s="16">
        <f>IF(A6="","",IF(B6&gt;0,"🔴 Vermelho",IF(C6&gt;0,"🟠 Laranja",IF(D6&gt;0,"🟡 Amarelo","🟢 Verde"))))</f>
        <v/>
      </c>
    </row>
    <row r="7">
      <c r="A7" s="16" t="n"/>
      <c r="B7" s="16">
        <f>IF(A7="","",COUNTIFS('3. Ambientes'!$A:$A,A7,'3. Ambientes'!$O:$O,"🔴 Vermelho"))</f>
        <v/>
      </c>
      <c r="C7" s="16">
        <f>IF(A7="","",COUNTIFS('3. Ambientes'!$A:$A,A7,'3. Ambientes'!$O:$O,"🟠 Laranja"))</f>
        <v/>
      </c>
      <c r="D7" s="16">
        <f>IF(A7="","",COUNTIFS('3. Ambientes'!$A:$A,A7,'3. Ambientes'!$O:$O,"🟡 Amarelo"))</f>
        <v/>
      </c>
      <c r="E7" s="16">
        <f>IF(A7="","",COUNTIF('3. Ambientes'!$A:$A,A7))</f>
        <v/>
      </c>
      <c r="F7" s="16">
        <f>IF(A7="","",IF(B7&gt;0,"🔴 Vermelho",IF(C7&gt;0,"🟠 Laranja",IF(D7&gt;0,"🟡 Amarelo","🟢 Verde"))))</f>
        <v/>
      </c>
    </row>
    <row r="8">
      <c r="A8" s="16" t="n"/>
      <c r="B8" s="16">
        <f>IF(A8="","",COUNTIFS('3. Ambientes'!$A:$A,A8,'3. Ambientes'!$O:$O,"🔴 Vermelho"))</f>
        <v/>
      </c>
      <c r="C8" s="16">
        <f>IF(A8="","",COUNTIFS('3. Ambientes'!$A:$A,A8,'3. Ambientes'!$O:$O,"🟠 Laranja"))</f>
        <v/>
      </c>
      <c r="D8" s="16">
        <f>IF(A8="","",COUNTIFS('3. Ambientes'!$A:$A,A8,'3. Ambientes'!$O:$O,"🟡 Amarelo"))</f>
        <v/>
      </c>
      <c r="E8" s="16">
        <f>IF(A8="","",COUNTIF('3. Ambientes'!$A:$A,A8))</f>
        <v/>
      </c>
      <c r="F8" s="16">
        <f>IF(A8="","",IF(B8&gt;0,"🔴 Vermelho",IF(C8&gt;0,"🟠 Laranja",IF(D8&gt;0,"🟡 Amarelo","🟢 Verde"))))</f>
        <v/>
      </c>
    </row>
    <row r="9">
      <c r="A9" s="16" t="n"/>
      <c r="B9" s="16">
        <f>IF(A9="","",COUNTIFS('3. Ambientes'!$A:$A,A9,'3. Ambientes'!$O:$O,"🔴 Vermelho"))</f>
        <v/>
      </c>
      <c r="C9" s="16">
        <f>IF(A9="","",COUNTIFS('3. Ambientes'!$A:$A,A9,'3. Ambientes'!$O:$O,"🟠 Laranja"))</f>
        <v/>
      </c>
      <c r="D9" s="16">
        <f>IF(A9="","",COUNTIFS('3. Ambientes'!$A:$A,A9,'3. Ambientes'!$O:$O,"🟡 Amarelo"))</f>
        <v/>
      </c>
      <c r="E9" s="16">
        <f>IF(A9="","",COUNTIF('3. Ambientes'!$A:$A,A9))</f>
        <v/>
      </c>
      <c r="F9" s="16">
        <f>IF(A9="","",IF(B9&gt;0,"🔴 Vermelho",IF(C9&gt;0,"🟠 Laranja",IF(D9&gt;0,"🟡 Amarelo","🟢 Verde"))))</f>
        <v/>
      </c>
    </row>
    <row r="10">
      <c r="A10" s="16" t="n"/>
      <c r="B10" s="16">
        <f>IF(A10="","",COUNTIFS('3. Ambientes'!$A:$A,A10,'3. Ambientes'!$O:$O,"🔴 Vermelho"))</f>
        <v/>
      </c>
      <c r="C10" s="16">
        <f>IF(A10="","",COUNTIFS('3. Ambientes'!$A:$A,A10,'3. Ambientes'!$O:$O,"🟠 Laranja"))</f>
        <v/>
      </c>
      <c r="D10" s="16">
        <f>IF(A10="","",COUNTIFS('3. Ambientes'!$A:$A,A10,'3. Ambientes'!$O:$O,"🟡 Amarelo"))</f>
        <v/>
      </c>
      <c r="E10" s="16">
        <f>IF(A10="","",COUNTIF('3. Ambientes'!$A:$A,A10))</f>
        <v/>
      </c>
      <c r="F10" s="16">
        <f>IF(A10="","",IF(B10&gt;0,"🔴 Vermelho",IF(C10&gt;0,"🟠 Laranja",IF(D10&gt;0,"🟡 Amarelo","🟢 Verde"))))</f>
        <v/>
      </c>
    </row>
    <row r="11">
      <c r="A11" s="16" t="n"/>
      <c r="B11" s="16">
        <f>IF(A11="","",COUNTIFS('3. Ambientes'!$A:$A,A11,'3. Ambientes'!$O:$O,"🔴 Vermelho"))</f>
        <v/>
      </c>
      <c r="C11" s="16">
        <f>IF(A11="","",COUNTIFS('3. Ambientes'!$A:$A,A11,'3. Ambientes'!$O:$O,"🟠 Laranja"))</f>
        <v/>
      </c>
      <c r="D11" s="16">
        <f>IF(A11="","",COUNTIFS('3. Ambientes'!$A:$A,A11,'3. Ambientes'!$O:$O,"🟡 Amarelo"))</f>
        <v/>
      </c>
      <c r="E11" s="16">
        <f>IF(A11="","",COUNTIF('3. Ambientes'!$A:$A,A11))</f>
        <v/>
      </c>
      <c r="F11" s="16">
        <f>IF(A11="","",IF(B11&gt;0,"🔴 Vermelho",IF(C11&gt;0,"🟠 Laranja",IF(D11&gt;0,"🟡 Amarelo","🟢 Verde"))))</f>
        <v/>
      </c>
    </row>
    <row r="12">
      <c r="A12" s="16" t="n"/>
      <c r="B12" s="16">
        <f>IF(A12="","",COUNTIFS('3. Ambientes'!$A:$A,A12,'3. Ambientes'!$O:$O,"🔴 Vermelho"))</f>
        <v/>
      </c>
      <c r="C12" s="16">
        <f>IF(A12="","",COUNTIFS('3. Ambientes'!$A:$A,A12,'3. Ambientes'!$O:$O,"🟠 Laranja"))</f>
        <v/>
      </c>
      <c r="D12" s="16">
        <f>IF(A12="","",COUNTIFS('3. Ambientes'!$A:$A,A12,'3. Ambientes'!$O:$O,"🟡 Amarelo"))</f>
        <v/>
      </c>
      <c r="E12" s="16">
        <f>IF(A12="","",COUNTIF('3. Ambientes'!$A:$A,A12))</f>
        <v/>
      </c>
      <c r="F12" s="16">
        <f>IF(A12="","",IF(B12&gt;0,"🔴 Vermelho",IF(C12&gt;0,"🟠 Laranja",IF(D12&gt;0,"🟡 Amarelo","🟢 Verde"))))</f>
        <v/>
      </c>
    </row>
    <row r="13">
      <c r="A13" s="16" t="n"/>
      <c r="B13" s="16">
        <f>IF(A13="","",COUNTIFS('3. Ambientes'!$A:$A,A13,'3. Ambientes'!$O:$O,"🔴 Vermelho"))</f>
        <v/>
      </c>
      <c r="C13" s="16">
        <f>IF(A13="","",COUNTIFS('3. Ambientes'!$A:$A,A13,'3. Ambientes'!$O:$O,"🟠 Laranja"))</f>
        <v/>
      </c>
      <c r="D13" s="16">
        <f>IF(A13="","",COUNTIFS('3. Ambientes'!$A:$A,A13,'3. Ambientes'!$O:$O,"🟡 Amarelo"))</f>
        <v/>
      </c>
      <c r="E13" s="16">
        <f>IF(A13="","",COUNTIF('3. Ambientes'!$A:$A,A13))</f>
        <v/>
      </c>
      <c r="F13" s="16">
        <f>IF(A13="","",IF(B13&gt;0,"🔴 Vermelho",IF(C13&gt;0,"🟠 Laranja",IF(D13&gt;0,"🟡 Amarelo","🟢 Verde"))))</f>
        <v/>
      </c>
    </row>
    <row r="15">
      <c r="A15" s="10" t="inlineStr">
        <is>
          <t>Digite o código do projeto na coluna A (mesmo texto usado na aba '3. Ambientes') — as demais colunas calculam sozinhas. Regra: 1 ambiente em laranja ou vermelho derruba o status do projeto inteiro, mesmo que os outros estejam verdes.</t>
        </is>
      </c>
    </row>
    <row r="16"/>
    <row r="17"/>
  </sheetData>
  <mergeCells count="2">
    <mergeCell ref="A15:F1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2026-07-20T17:26:03Z</dcterms:created>
  <dcterms:modified xmlns:dcterms="http://purl.org/dc/terms/" xmlns:xsi="http://www.w3.org/2001/XMLSchema-instance" xsi:type="dcterms:W3CDTF">2026-07-20T17:26:03Z</dcterms:modified>
</cp:coreProperties>
</file>