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mo Usar" sheetId="1" state="visible" r:id="rId1"/>
    <sheet xmlns:r="http://schemas.openxmlformats.org/officeDocument/2006/relationships" name="2. Cadastro de Materiais" sheetId="2" state="visible" r:id="rId2"/>
    <sheet xmlns:r="http://schemas.openxmlformats.org/officeDocument/2006/relationships" name="3. Movimentações" sheetId="3" state="visible" r:id="rId3"/>
    <sheet xmlns:r="http://schemas.openxmlformats.org/officeDocument/2006/relationships" name="4. Saldo Atual" sheetId="4" state="visible" r:id="rId4"/>
    <sheet xmlns:r="http://schemas.openxmlformats.org/officeDocument/2006/relationships" name="5. Curva ABC" sheetId="5" state="visible" r:id="rId5"/>
    <sheet xmlns:r="http://schemas.openxmlformats.org/officeDocument/2006/relationships" name="6. Alertas" sheetId="6" state="visible" r:id="rId6"/>
    <sheet xmlns:r="http://schemas.openxmlformats.org/officeDocument/2006/relationships" name="7.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R$ #,##0"/>
    <numFmt numFmtId="166" formatCode="0.0%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  <sz val="12"/>
    </font>
    <font>
      <b val="1"/>
      <sz val="10"/>
    </font>
    <font>
      <sz val="10"/>
    </font>
    <font>
      <b val="1"/>
      <color rgb="00FFFFFF"/>
      <sz val="14"/>
    </font>
    <font>
      <b val="1"/>
      <color rgb="00FFFFFF"/>
    </font>
    <font>
      <b val="1"/>
    </font>
    <font>
      <b val="1"/>
      <sz val="11"/>
    </font>
    <font>
      <b val="1"/>
      <color rgb="00FFFFFF"/>
      <sz val="12"/>
    </font>
    <font>
      <i val="1"/>
      <sz val="10"/>
    </font>
    <font>
      <b val="1"/>
      <sz val="12"/>
    </font>
    <font>
      <i val="1"/>
      <color rgb="00C00000"/>
      <sz val="10"/>
    </font>
    <font>
      <b val="1"/>
      <color rgb="00C00000"/>
    </font>
    <font>
      <b val="1"/>
      <color rgb="00C00000"/>
      <sz val="12"/>
    </font>
    <font>
      <b val="1"/>
      <sz val="14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  <fill>
      <patternFill patternType="solid">
        <fgColor rgb="00F4B084"/>
        <bgColor rgb="00F4B084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  <fill>
      <patternFill patternType="solid">
        <fgColor rgb="00FFE699"/>
        <bgColor rgb="00FFE699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applyAlignment="1" pivotButton="0" quotePrefix="0" xfId="0">
      <alignment horizontal="center" wrapText="1"/>
    </xf>
    <xf numFmtId="0" fontId="7" fillId="0" borderId="0" pivotButton="0" quotePrefix="0" xfId="0"/>
    <xf numFmtId="164" fontId="0" fillId="4" borderId="0" pivotButton="0" quotePrefix="0" xfId="0"/>
    <xf numFmtId="0" fontId="0" fillId="4" borderId="0" pivotButton="0" quotePrefix="0" xfId="0"/>
    <xf numFmtId="0" fontId="6" fillId="3" borderId="0" applyAlignment="1" pivotButton="0" quotePrefix="0" xfId="0">
      <alignment horizontal="center"/>
    </xf>
    <xf numFmtId="0" fontId="0" fillId="5" borderId="0" pivotButton="0" quotePrefix="0" xfId="0"/>
    <xf numFmtId="2" fontId="7" fillId="0" borderId="0" pivotButton="0" quotePrefix="0" xfId="0"/>
    <xf numFmtId="0" fontId="0" fillId="0" borderId="0" applyAlignment="1" pivotButton="0" quotePrefix="0" xfId="0">
      <alignment wrapText="1"/>
    </xf>
    <xf numFmtId="0" fontId="0" fillId="6" borderId="0" pivotButton="0" quotePrefix="0" xfId="0"/>
    <xf numFmtId="164" fontId="0" fillId="0" borderId="0" pivotButton="0" quotePrefix="0" xfId="0"/>
    <xf numFmtId="164" fontId="0" fillId="7" borderId="0" pivotButton="0" quotePrefix="0" xfId="0"/>
    <xf numFmtId="0" fontId="8" fillId="0" borderId="0" pivotButton="0" quotePrefix="0" xfId="0"/>
    <xf numFmtId="164" fontId="9" fillId="8" borderId="0" pivotButton="0" quotePrefix="0" xfId="0"/>
    <xf numFmtId="0" fontId="1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1" fillId="5" borderId="0" pivotButton="0" quotePrefix="0" xfId="0"/>
    <xf numFmtId="0" fontId="11" fillId="9" borderId="0" pivotButton="0" quotePrefix="0" xfId="0"/>
    <xf numFmtId="0" fontId="11" fillId="6" borderId="0" pivotButton="0" quotePrefix="0" xfId="0"/>
    <xf numFmtId="0" fontId="5" fillId="10" borderId="0" pivotButton="0" quotePrefix="0" xfId="0"/>
    <xf numFmtId="0" fontId="12" fillId="0" borderId="0" pivotButton="0" quotePrefix="0" xfId="0"/>
    <xf numFmtId="0" fontId="6" fillId="3" borderId="0" pivotButton="0" quotePrefix="0" xfId="0"/>
    <xf numFmtId="2" fontId="0" fillId="11" borderId="0" pivotButton="0" quotePrefix="0" xfId="0"/>
    <xf numFmtId="2" fontId="0" fillId="0" borderId="0" pivotButton="0" quotePrefix="0" xfId="0"/>
    <xf numFmtId="2" fontId="13" fillId="0" borderId="0" pivotButton="0" quotePrefix="0" xfId="0"/>
    <xf numFmtId="0" fontId="14" fillId="0" borderId="0" pivotButton="0" quotePrefix="0" xfId="0"/>
    <xf numFmtId="0" fontId="3" fillId="12" borderId="0" pivotButton="0" quotePrefix="0" xfId="0"/>
    <xf numFmtId="164" fontId="15" fillId="12" borderId="0" pivotButton="0" quotePrefix="0" xfId="0"/>
    <xf numFmtId="1" fontId="15" fillId="12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 ht="30" customHeight="1">
      <c r="A1" s="1" t="inlineStr">
        <is>
          <t>CONTROLE DE ESTOQUE PRO — LUKANA MARCENARIA</t>
        </is>
      </c>
    </row>
    <row r="3"/>
    <row r="4">
      <c r="A4" s="2" t="inlineStr">
        <is>
          <t>BEM-VINDO AO CONTROLE DE ESTOQUE PRO</t>
        </is>
      </c>
    </row>
    <row r="5"/>
    <row r="6">
      <c r="A6" s="2" t="inlineStr">
        <is>
          <t>Esta planilha controla TUDO que entra e sai do seu estoque de material.</t>
        </is>
      </c>
    </row>
    <row r="7"/>
    <row r="8">
      <c r="A8" s="2" t="inlineStr">
        <is>
          <t>📋 COMO USAR:</t>
        </is>
      </c>
    </row>
    <row r="9"/>
    <row r="10">
      <c r="A10" s="3" t="inlineStr">
        <is>
          <t>1️⃣ CONFIGURE SEU ESTOQUE INICIAL</t>
        </is>
      </c>
      <c r="B10" s="4" t="inlineStr">
        <is>
          <t>Aba '2. Cadastro de Materiais' - cadastre todos os materiais que você usa</t>
        </is>
      </c>
    </row>
    <row r="11">
      <c r="A11" s="3" t="inlineStr">
        <is>
          <t>2️⃣ REGISTRE ENTRADAS</t>
        </is>
      </c>
      <c r="B11" s="4" t="inlineStr">
        <is>
          <t>Aba '3. Movimentações' - toda vez que comprar material, registra entrada</t>
        </is>
      </c>
    </row>
    <row r="12">
      <c r="A12" s="3" t="inlineStr">
        <is>
          <t>3️⃣ REGISTRE SAÍDAS</t>
        </is>
      </c>
      <c r="B12" s="4" t="inlineStr">
        <is>
          <t>Aba '3. Movimentações' - toda vez que usar material em projeto, registra saída</t>
        </is>
      </c>
    </row>
    <row r="13">
      <c r="A13" s="3" t="inlineStr">
        <is>
          <t>4️⃣ ACOMPANHE SALDO</t>
        </is>
      </c>
      <c r="B13" s="4" t="inlineStr">
        <is>
          <t>Aba '4. Saldo Atual' mostra quanto você tem de cada material AGORA</t>
        </is>
      </c>
    </row>
    <row r="14">
      <c r="A14" s="3" t="inlineStr">
        <is>
          <t>5️⃣ CURVA ABC</t>
        </is>
      </c>
      <c r="B14" s="4" t="inlineStr">
        <is>
          <t>Aba '5. Curva ABC' mostra quais 20% dos materiais representam 80% do custo</t>
        </is>
      </c>
    </row>
    <row r="15">
      <c r="A15" s="3" t="inlineStr">
        <is>
          <t>6️⃣ ALERTAS DE REPOSIÇÃO</t>
        </is>
      </c>
      <c r="B15" s="4" t="inlineStr">
        <is>
          <t>Aba '6. Alertas' avisa quando tá na hora de comprar</t>
        </is>
      </c>
    </row>
    <row r="16"/>
    <row r="17">
      <c r="A17" s="2" t="inlineStr">
        <is>
          <t>⚠️ CAMPOS AMARELOS = VOCÊ PREENCHE</t>
        </is>
      </c>
    </row>
    <row r="18">
      <c r="A18" s="2" t="inlineStr">
        <is>
          <t>⚠️ CAMPOS CINZA = CÁLCULO AUTOMÁTICO</t>
        </is>
      </c>
    </row>
    <row r="19"/>
    <row r="20">
      <c r="A20" s="2" t="inlineStr">
        <is>
          <t>💡 PONTO DE REPOSIÇÃO:</t>
        </is>
      </c>
    </row>
    <row r="21">
      <c r="A21" s="2" t="inlineStr">
        <is>
          <t>Fórmula: (Consumo Médio/dia × Lead Time do fornecedor) + Estoque Segurança 20%</t>
        </is>
      </c>
    </row>
    <row r="22"/>
    <row r="23">
      <c r="A23" s="2" t="inlineStr">
        <is>
          <t>Exemplo: Você gasta 10 chapas/semana (1,4 chapas/dia)</t>
        </is>
      </c>
    </row>
    <row r="24">
      <c r="A24" s="2" t="inlineStr">
        <is>
          <t>Fornecedor demora 7 dias pra entregar</t>
        </is>
      </c>
    </row>
    <row r="25">
      <c r="A25" s="2" t="inlineStr">
        <is>
          <t>Ponto de Reposição = (1,4 × 7) + 20% = 12 chapas</t>
        </is>
      </c>
    </row>
    <row r="26">
      <c r="A26" s="2" t="inlineStr">
        <is>
          <t>Quando chegar em 12 chapas, JÁ COMPRA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</cols>
  <sheetData>
    <row r="1">
      <c r="A1" s="5" t="inlineStr">
        <is>
          <t>📦 CADASTRO DE MATERIAIS</t>
        </is>
      </c>
    </row>
    <row r="3">
      <c r="A3" s="6" t="inlineStr">
        <is>
          <t>Código</t>
        </is>
      </c>
      <c r="B3" s="6" t="inlineStr">
        <is>
          <t>Material</t>
        </is>
      </c>
      <c r="C3" s="6" t="inlineStr">
        <is>
          <t>Unidade</t>
        </is>
      </c>
      <c r="D3" s="6" t="inlineStr">
        <is>
          <t>Custo Unitário</t>
        </is>
      </c>
      <c r="E3" s="6" t="inlineStr">
        <is>
          <t>Estoque Mínimo</t>
        </is>
      </c>
      <c r="F3" s="6" t="inlineStr">
        <is>
          <t>Lead Time (dias)</t>
        </is>
      </c>
      <c r="G3" s="6" t="inlineStr">
        <is>
          <t>Fornecedor Principal</t>
        </is>
      </c>
      <c r="H3" s="6" t="inlineStr">
        <is>
          <t>Categoria</t>
        </is>
      </c>
    </row>
    <row r="4">
      <c r="A4" s="7" t="inlineStr">
        <is>
          <t>MAT001</t>
        </is>
      </c>
      <c r="B4" t="inlineStr">
        <is>
          <t>MDF Branco 18mm</t>
        </is>
      </c>
      <c r="C4" t="inlineStr">
        <is>
          <t>m²</t>
        </is>
      </c>
      <c r="D4" s="8" t="n">
        <v>120</v>
      </c>
      <c r="E4" s="9" t="n">
        <v>50</v>
      </c>
      <c r="F4" s="9" t="n">
        <v>7</v>
      </c>
      <c r="G4" t="inlineStr">
        <is>
          <t>Berneck</t>
        </is>
      </c>
      <c r="H4" t="inlineStr">
        <is>
          <t>Chapa</t>
        </is>
      </c>
    </row>
    <row r="5">
      <c r="A5" s="7" t="inlineStr">
        <is>
          <t>MAT002</t>
        </is>
      </c>
      <c r="B5" t="inlineStr">
        <is>
          <t>MDF Amadeirado 18mm</t>
        </is>
      </c>
      <c r="C5" t="inlineStr">
        <is>
          <t>m²</t>
        </is>
      </c>
      <c r="D5" s="8" t="n">
        <v>140</v>
      </c>
      <c r="E5" s="9" t="n">
        <v>40</v>
      </c>
      <c r="F5" s="9" t="n">
        <v>7</v>
      </c>
      <c r="G5" t="inlineStr">
        <is>
          <t>Berneck</t>
        </is>
      </c>
      <c r="H5" t="inlineStr">
        <is>
          <t>Chapa</t>
        </is>
      </c>
    </row>
    <row r="6">
      <c r="A6" s="7" t="inlineStr">
        <is>
          <t>MAT003</t>
        </is>
      </c>
      <c r="B6" t="inlineStr">
        <is>
          <t>MDP Branco 18mm</t>
        </is>
      </c>
      <c r="C6" t="inlineStr">
        <is>
          <t>m²</t>
        </is>
      </c>
      <c r="D6" s="8" t="n">
        <v>90</v>
      </c>
      <c r="E6" s="9" t="n">
        <v>60</v>
      </c>
      <c r="F6" s="9" t="n">
        <v>5</v>
      </c>
      <c r="G6" t="inlineStr">
        <is>
          <t>Duratex</t>
        </is>
      </c>
      <c r="H6" t="inlineStr">
        <is>
          <t>Chapa</t>
        </is>
      </c>
    </row>
    <row r="7">
      <c r="A7" s="7" t="inlineStr">
        <is>
          <t>MAT004</t>
        </is>
      </c>
      <c r="B7" t="inlineStr">
        <is>
          <t>MDP Amadeirado 18mm</t>
        </is>
      </c>
      <c r="C7" t="inlineStr">
        <is>
          <t>m²</t>
        </is>
      </c>
      <c r="D7" s="8" t="n">
        <v>100</v>
      </c>
      <c r="E7" s="9" t="n">
        <v>50</v>
      </c>
      <c r="F7" s="9" t="n">
        <v>5</v>
      </c>
      <c r="G7" t="inlineStr">
        <is>
          <t>Duratex</t>
        </is>
      </c>
      <c r="H7" t="inlineStr">
        <is>
          <t>Chapa</t>
        </is>
      </c>
    </row>
    <row r="8">
      <c r="A8" s="7" t="inlineStr">
        <is>
          <t>MAT005</t>
        </is>
      </c>
      <c r="B8" t="inlineStr">
        <is>
          <t>Fita de Borda PVC 22mm</t>
        </is>
      </c>
      <c r="C8" t="inlineStr">
        <is>
          <t>metro</t>
        </is>
      </c>
      <c r="D8" s="8" t="n">
        <v>3.5</v>
      </c>
      <c r="E8" s="9" t="n">
        <v>500</v>
      </c>
      <c r="F8" s="9" t="n">
        <v>10</v>
      </c>
      <c r="G8" t="inlineStr">
        <is>
          <t>Rehau</t>
        </is>
      </c>
      <c r="H8" t="inlineStr">
        <is>
          <t>Acabamento</t>
        </is>
      </c>
    </row>
    <row r="9">
      <c r="A9" s="7" t="inlineStr">
        <is>
          <t>MAT006</t>
        </is>
      </c>
      <c r="B9" t="inlineStr">
        <is>
          <t>Dobradiça Caneco 35mm</t>
        </is>
      </c>
      <c r="C9" t="inlineStr">
        <is>
          <t>unidade</t>
        </is>
      </c>
      <c r="D9" s="8" t="n">
        <v>8</v>
      </c>
      <c r="E9" s="9" t="n">
        <v>200</v>
      </c>
      <c r="F9" s="9" t="n">
        <v>7</v>
      </c>
      <c r="G9" t="inlineStr">
        <is>
          <t>Blum</t>
        </is>
      </c>
      <c r="H9" t="inlineStr">
        <is>
          <t>Ferragem</t>
        </is>
      </c>
    </row>
    <row r="10">
      <c r="A10" s="7" t="inlineStr">
        <is>
          <t>MAT007</t>
        </is>
      </c>
      <c r="B10" t="inlineStr">
        <is>
          <t>Corrediça Telescópica 45cm</t>
        </is>
      </c>
      <c r="C10" t="inlineStr">
        <is>
          <t>par</t>
        </is>
      </c>
      <c r="D10" s="8" t="n">
        <v>35</v>
      </c>
      <c r="E10" s="9" t="n">
        <v>100</v>
      </c>
      <c r="F10" s="9" t="n">
        <v>10</v>
      </c>
      <c r="G10" t="inlineStr">
        <is>
          <t>Blum</t>
        </is>
      </c>
      <c r="H10" t="inlineStr">
        <is>
          <t>Ferragem</t>
        </is>
      </c>
    </row>
    <row r="11">
      <c r="A11" s="7" t="inlineStr">
        <is>
          <t>MAT008</t>
        </is>
      </c>
      <c r="B11" t="inlineStr">
        <is>
          <t>Puxador Inox 128mm</t>
        </is>
      </c>
      <c r="C11" t="inlineStr">
        <is>
          <t>unidade</t>
        </is>
      </c>
      <c r="D11" s="8" t="n">
        <v>12</v>
      </c>
      <c r="E11" s="9" t="n">
        <v>150</v>
      </c>
      <c r="F11" s="9" t="n">
        <v>14</v>
      </c>
      <c r="G11" t="inlineStr">
        <is>
          <t>diversos</t>
        </is>
      </c>
      <c r="H11" t="inlineStr">
        <is>
          <t>Ferragem</t>
        </is>
      </c>
    </row>
    <row r="12">
      <c r="A12" s="7" t="inlineStr">
        <is>
          <t>MAT009</t>
        </is>
      </c>
      <c r="B12" t="inlineStr">
        <is>
          <t>Cola Branca Marceneiro</t>
        </is>
      </c>
      <c r="C12" t="inlineStr">
        <is>
          <t>litro</t>
        </is>
      </c>
      <c r="D12" s="8" t="n">
        <v>25</v>
      </c>
      <c r="E12" s="9" t="n">
        <v>20</v>
      </c>
      <c r="F12" s="9" t="n">
        <v>3</v>
      </c>
      <c r="G12" t="inlineStr">
        <is>
          <t>local</t>
        </is>
      </c>
      <c r="H12" t="inlineStr">
        <is>
          <t>Químico</t>
        </is>
      </c>
    </row>
    <row r="13">
      <c r="A13" s="7" t="inlineStr">
        <is>
          <t>MAT010</t>
        </is>
      </c>
      <c r="B13" t="inlineStr">
        <is>
          <t>Parafuso 4x30mm</t>
        </is>
      </c>
      <c r="C13" t="inlineStr">
        <is>
          <t>caixa 1000un</t>
        </is>
      </c>
      <c r="D13" s="8" t="n">
        <v>45</v>
      </c>
      <c r="E13" s="9" t="n">
        <v>10</v>
      </c>
      <c r="F13" s="9" t="n">
        <v>7</v>
      </c>
      <c r="G13" t="inlineStr">
        <is>
          <t>local</t>
        </is>
      </c>
      <c r="H13" t="inlineStr">
        <is>
          <t>Fixação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2" customWidth="1" min="4" max="4"/>
    <col width="12" customWidth="1" min="5" max="5"/>
    <col width="14" customWidth="1" min="6" max="6"/>
    <col width="40" customWidth="1" min="7" max="7"/>
  </cols>
  <sheetData>
    <row r="1">
      <c r="A1" s="5" t="inlineStr">
        <is>
          <t>📋 MOVIMENTAÇÕES DE ESTOQUE</t>
        </is>
      </c>
    </row>
    <row r="3">
      <c r="A3" s="10" t="inlineStr">
        <is>
          <t>Data</t>
        </is>
      </c>
      <c r="B3" s="10" t="inlineStr">
        <is>
          <t>Código Material</t>
        </is>
      </c>
      <c r="C3" s="10" t="inlineStr">
        <is>
          <t>Material</t>
        </is>
      </c>
      <c r="D3" s="10" t="inlineStr">
        <is>
          <t>Tipo</t>
        </is>
      </c>
      <c r="E3" s="10" t="inlineStr">
        <is>
          <t>Quantidade</t>
        </is>
      </c>
      <c r="F3" s="10" t="inlineStr">
        <is>
          <t>Documento</t>
        </is>
      </c>
      <c r="G3" s="10" t="inlineStr">
        <is>
          <t>Observação</t>
        </is>
      </c>
    </row>
    <row r="4">
      <c r="A4" t="inlineStr">
        <is>
          <t>15/04/2025</t>
        </is>
      </c>
      <c r="B4" t="inlineStr">
        <is>
          <t>MAT001</t>
        </is>
      </c>
      <c r="C4" t="inlineStr">
        <is>
          <t>MDF Branco 18mm</t>
        </is>
      </c>
      <c r="D4" s="11" t="inlineStr">
        <is>
          <t>ENTRADA</t>
        </is>
      </c>
      <c r="E4" s="12" t="n">
        <v>100</v>
      </c>
      <c r="F4" t="inlineStr">
        <is>
          <t>NF 12345</t>
        </is>
      </c>
      <c r="G4" s="13" t="inlineStr">
        <is>
          <t>Compra programada</t>
        </is>
      </c>
    </row>
    <row r="5">
      <c r="A5" t="inlineStr">
        <is>
          <t>16/04/2025</t>
        </is>
      </c>
      <c r="B5" t="inlineStr">
        <is>
          <t>MAT001</t>
        </is>
      </c>
      <c r="C5" t="inlineStr">
        <is>
          <t>MDF Branco 18mm</t>
        </is>
      </c>
      <c r="D5" s="14" t="inlineStr">
        <is>
          <t>SAÍDA</t>
        </is>
      </c>
      <c r="E5" s="12" t="n">
        <v>-25</v>
      </c>
      <c r="F5" t="inlineStr">
        <is>
          <t>Projeto 089</t>
        </is>
      </c>
      <c r="G5" s="13" t="inlineStr">
        <is>
          <t>Cozinha João Silva</t>
        </is>
      </c>
    </row>
    <row r="6">
      <c r="A6" t="inlineStr">
        <is>
          <t>17/04/2025</t>
        </is>
      </c>
      <c r="B6" t="inlineStr">
        <is>
          <t>MAT003</t>
        </is>
      </c>
      <c r="C6" t="inlineStr">
        <is>
          <t>MDP Branco 18mm</t>
        </is>
      </c>
      <c r="D6" s="11" t="inlineStr">
        <is>
          <t>ENTRADA</t>
        </is>
      </c>
      <c r="E6" s="12" t="n">
        <v>80</v>
      </c>
      <c r="F6" t="inlineStr">
        <is>
          <t>NF 12567</t>
        </is>
      </c>
      <c r="G6" s="13" t="inlineStr">
        <is>
          <t>Reposição</t>
        </is>
      </c>
    </row>
    <row r="7">
      <c r="A7" t="inlineStr">
        <is>
          <t>18/04/2025</t>
        </is>
      </c>
      <c r="B7" t="inlineStr">
        <is>
          <t>MAT006</t>
        </is>
      </c>
      <c r="C7" t="inlineStr">
        <is>
          <t>Dobradiça Caneco 35mm</t>
        </is>
      </c>
      <c r="D7" s="14" t="inlineStr">
        <is>
          <t>SAÍDA</t>
        </is>
      </c>
      <c r="E7" s="12" t="n">
        <v>-48</v>
      </c>
      <c r="F7" t="inlineStr">
        <is>
          <t>Projeto 089</t>
        </is>
      </c>
      <c r="G7" s="13" t="inlineStr">
        <is>
          <t>Cozinha João Silva (24 portas)</t>
        </is>
      </c>
    </row>
    <row r="8">
      <c r="A8" t="inlineStr">
        <is>
          <t>19/04/2025</t>
        </is>
      </c>
      <c r="B8" t="inlineStr">
        <is>
          <t>MAT001</t>
        </is>
      </c>
      <c r="C8" t="inlineStr">
        <is>
          <t>MDF Branco 18mm</t>
        </is>
      </c>
      <c r="D8" s="14" t="inlineStr">
        <is>
          <t>SAÍDA</t>
        </is>
      </c>
      <c r="E8" s="12" t="n">
        <v>-18</v>
      </c>
      <c r="F8" t="inlineStr">
        <is>
          <t>Projeto 090</t>
        </is>
      </c>
      <c r="G8" s="13" t="inlineStr">
        <is>
          <t>Closet Maria Santos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5" t="inlineStr">
        <is>
          <t>📊 SALDO ATUAL DE ESTOQUE</t>
        </is>
      </c>
    </row>
    <row r="3">
      <c r="A3" s="10" t="inlineStr">
        <is>
          <t>Código</t>
        </is>
      </c>
      <c r="B3" s="10" t="inlineStr">
        <is>
          <t>Material</t>
        </is>
      </c>
      <c r="C3" s="10" t="inlineStr">
        <is>
          <t>Unidade</t>
        </is>
      </c>
      <c r="D3" s="10" t="inlineStr">
        <is>
          <t>Saldo Atual</t>
        </is>
      </c>
      <c r="E3" s="10" t="inlineStr">
        <is>
          <t>Custo Unit.</t>
        </is>
      </c>
      <c r="F3" s="10" t="inlineStr">
        <is>
          <t>Valor Total</t>
        </is>
      </c>
      <c r="G3" s="10" t="inlineStr">
        <is>
          <t>Status</t>
        </is>
      </c>
    </row>
    <row r="4">
      <c r="A4" s="7" t="inlineStr">
        <is>
          <t>MAT001</t>
        </is>
      </c>
      <c r="B4" t="inlineStr">
        <is>
          <t>MDF Branco 18mm</t>
        </is>
      </c>
      <c r="C4" t="inlineStr">
        <is>
          <t>m²</t>
        </is>
      </c>
      <c r="D4" s="12" t="n">
        <v>57</v>
      </c>
      <c r="E4" s="15" t="n">
        <v>120</v>
      </c>
      <c r="F4" s="16">
        <f>D4*E4</f>
        <v/>
      </c>
      <c r="G4">
        <f>IF(D4&lt;'2. Cadastro de Materiais'!E4,"🔴 CRÍTICO",IF(D4&lt;'2. Cadastro de Materiais'!E4*1.2,"⚠️ ATENÇÃO","✅ OK"))</f>
        <v/>
      </c>
    </row>
    <row r="5">
      <c r="A5" s="7" t="inlineStr">
        <is>
          <t>MAT002</t>
        </is>
      </c>
      <c r="B5" t="inlineStr">
        <is>
          <t>MDF Amadeirado 18mm</t>
        </is>
      </c>
      <c r="C5" t="inlineStr">
        <is>
          <t>m²</t>
        </is>
      </c>
      <c r="D5" s="12" t="n">
        <v>40</v>
      </c>
      <c r="E5" s="15" t="n">
        <v>140</v>
      </c>
      <c r="F5" s="16">
        <f>D5*E5</f>
        <v/>
      </c>
      <c r="G5">
        <f>IF(D5&lt;'2. Cadastro de Materiais'!E5,"🔴 CRÍTICO",IF(D5&lt;'2. Cadastro de Materiais'!E5*1.2,"⚠️ ATENÇÃO","✅ OK"))</f>
        <v/>
      </c>
    </row>
    <row r="6">
      <c r="A6" s="7" t="inlineStr">
        <is>
          <t>MAT003</t>
        </is>
      </c>
      <c r="B6" t="inlineStr">
        <is>
          <t>MDP Branco 18mm</t>
        </is>
      </c>
      <c r="C6" t="inlineStr">
        <is>
          <t>m²</t>
        </is>
      </c>
      <c r="D6" s="12" t="n">
        <v>80</v>
      </c>
      <c r="E6" s="15" t="n">
        <v>90</v>
      </c>
      <c r="F6" s="16">
        <f>D6*E6</f>
        <v/>
      </c>
      <c r="G6">
        <f>IF(D6&lt;'2. Cadastro de Materiais'!E6,"🔴 CRÍTICO",IF(D6&lt;'2. Cadastro de Materiais'!E6*1.2,"⚠️ ATENÇÃO","✅ OK"))</f>
        <v/>
      </c>
    </row>
    <row r="7">
      <c r="A7" s="7" t="inlineStr">
        <is>
          <t>MAT004</t>
        </is>
      </c>
      <c r="B7" t="inlineStr">
        <is>
          <t>MDP Amadeirado 18mm</t>
        </is>
      </c>
      <c r="C7" t="inlineStr">
        <is>
          <t>m²</t>
        </is>
      </c>
      <c r="D7" s="12" t="n">
        <v>50</v>
      </c>
      <c r="E7" s="15" t="n">
        <v>100</v>
      </c>
      <c r="F7" s="16">
        <f>D7*E7</f>
        <v/>
      </c>
      <c r="G7">
        <f>IF(D7&lt;'2. Cadastro de Materiais'!E7,"🔴 CRÍTICO",IF(D7&lt;'2. Cadastro de Materiais'!E7*1.2,"⚠️ ATENÇÃO","✅ OK"))</f>
        <v/>
      </c>
    </row>
    <row r="8">
      <c r="A8" s="7" t="inlineStr">
        <is>
          <t>MAT005</t>
        </is>
      </c>
      <c r="B8" t="inlineStr">
        <is>
          <t>Fita de Borda PVC 22mm</t>
        </is>
      </c>
      <c r="C8" t="inlineStr">
        <is>
          <t>metro</t>
        </is>
      </c>
      <c r="D8" s="12" t="n">
        <v>485</v>
      </c>
      <c r="E8" s="15" t="n">
        <v>3.5</v>
      </c>
      <c r="F8" s="16">
        <f>D8*E8</f>
        <v/>
      </c>
      <c r="G8">
        <f>IF(D8&lt;'2. Cadastro de Materiais'!E8,"🔴 CRÍTICO",IF(D8&lt;'2. Cadastro de Materiais'!E8*1.2,"⚠️ ATENÇÃO","✅ OK"))</f>
        <v/>
      </c>
    </row>
    <row r="9">
      <c r="A9" s="7" t="inlineStr">
        <is>
          <t>MAT006</t>
        </is>
      </c>
      <c r="B9" t="inlineStr">
        <is>
          <t>Dobradiça Caneco 35mm</t>
        </is>
      </c>
      <c r="C9" t="inlineStr">
        <is>
          <t>unidade</t>
        </is>
      </c>
      <c r="D9" s="12" t="n">
        <v>152</v>
      </c>
      <c r="E9" s="15" t="n">
        <v>8</v>
      </c>
      <c r="F9" s="16">
        <f>D9*E9</f>
        <v/>
      </c>
      <c r="G9">
        <f>IF(D9&lt;'2. Cadastro de Materiais'!E9,"🔴 CRÍTICO",IF(D9&lt;'2. Cadastro de Materiais'!E9*1.2,"⚠️ ATENÇÃO","✅ OK"))</f>
        <v/>
      </c>
    </row>
    <row r="10">
      <c r="A10" s="7" t="inlineStr">
        <is>
          <t>MAT007</t>
        </is>
      </c>
      <c r="B10" t="inlineStr">
        <is>
          <t>Corrediça Telescópica 45cm</t>
        </is>
      </c>
      <c r="C10" t="inlineStr">
        <is>
          <t>par</t>
        </is>
      </c>
      <c r="D10" s="12" t="n">
        <v>98</v>
      </c>
      <c r="E10" s="15" t="n">
        <v>35</v>
      </c>
      <c r="F10" s="16">
        <f>D10*E10</f>
        <v/>
      </c>
      <c r="G10">
        <f>IF(D10&lt;'2. Cadastro de Materiais'!E10,"🔴 CRÍTICO",IF(D10&lt;'2. Cadastro de Materiais'!E10*1.2,"⚠️ ATENÇÃO","✅ OK"))</f>
        <v/>
      </c>
    </row>
    <row r="11">
      <c r="A11" s="7" t="inlineStr">
        <is>
          <t>MAT008</t>
        </is>
      </c>
      <c r="B11" t="inlineStr">
        <is>
          <t>Puxador Inox 128mm</t>
        </is>
      </c>
      <c r="C11" t="inlineStr">
        <is>
          <t>unidade</t>
        </is>
      </c>
      <c r="D11" s="12" t="n">
        <v>145</v>
      </c>
      <c r="E11" s="15" t="n">
        <v>12</v>
      </c>
      <c r="F11" s="16">
        <f>D11*E11</f>
        <v/>
      </c>
      <c r="G11">
        <f>IF(D11&lt;'2. Cadastro de Materiais'!E11,"🔴 CRÍTICO",IF(D11&lt;'2. Cadastro de Materiais'!E11*1.2,"⚠️ ATENÇÃO","✅ OK"))</f>
        <v/>
      </c>
    </row>
    <row r="12">
      <c r="A12" s="7" t="inlineStr">
        <is>
          <t>MAT009</t>
        </is>
      </c>
      <c r="B12" t="inlineStr">
        <is>
          <t>Cola Branca Marceneiro</t>
        </is>
      </c>
      <c r="C12" t="inlineStr">
        <is>
          <t>litro</t>
        </is>
      </c>
      <c r="D12" s="12" t="n">
        <v>18</v>
      </c>
      <c r="E12" s="15" t="n">
        <v>25</v>
      </c>
      <c r="F12" s="16">
        <f>D12*E12</f>
        <v/>
      </c>
      <c r="G12">
        <f>IF(D12&lt;'2. Cadastro de Materiais'!E12,"🔴 CRÍTICO",IF(D12&lt;'2. Cadastro de Materiais'!E12*1.2,"⚠️ ATENÇÃO","✅ OK"))</f>
        <v/>
      </c>
    </row>
    <row r="13">
      <c r="A13" s="7" t="inlineStr">
        <is>
          <t>MAT010</t>
        </is>
      </c>
      <c r="B13" t="inlineStr">
        <is>
          <t>Parafuso 4x30mm</t>
        </is>
      </c>
      <c r="C13" t="inlineStr">
        <is>
          <t>caixa 1000un</t>
        </is>
      </c>
      <c r="D13" s="12" t="n">
        <v>9</v>
      </c>
      <c r="E13" s="15" t="n">
        <v>45</v>
      </c>
      <c r="F13" s="16">
        <f>D13*E13</f>
        <v/>
      </c>
      <c r="G13">
        <f>IF(D13&lt;'2. Cadastro de Materiais'!E13,"🔴 CRÍTICO",IF(D13&lt;'2. Cadastro de Materiais'!E13*1.2,"⚠️ ATENÇÃO","✅ OK"))</f>
        <v/>
      </c>
    </row>
    <row r="14">
      <c r="A14" s="17" t="inlineStr">
        <is>
          <t>VALOR TOTAL EM ESTOQUE</t>
        </is>
      </c>
      <c r="F14" s="18">
        <f>SUM(F4:F13)</f>
        <v/>
      </c>
    </row>
  </sheetData>
  <mergeCells count="2">
    <mergeCell ref="A1:G1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2" customWidth="1" min="4" max="4"/>
    <col width="14" customWidth="1" min="5" max="5"/>
    <col width="10" customWidth="1" min="6" max="6"/>
  </cols>
  <sheetData>
    <row r="1">
      <c r="A1" s="5" t="inlineStr">
        <is>
          <t>📈 CURVA ABC (ANÁLISE DE PARETO)</t>
        </is>
      </c>
    </row>
    <row r="3">
      <c r="A3" s="19" t="inlineStr">
        <is>
          <t>A Curva ABC mostra quais materiais representam mais custo no seu estoque</t>
        </is>
      </c>
    </row>
    <row r="5">
      <c r="A5" s="10" t="inlineStr">
        <is>
          <t>Código</t>
        </is>
      </c>
      <c r="B5" s="10" t="inlineStr">
        <is>
          <t>Material</t>
        </is>
      </c>
      <c r="C5" s="10" t="inlineStr">
        <is>
          <t>Valor em Estoque</t>
        </is>
      </c>
      <c r="D5" s="10" t="inlineStr">
        <is>
          <t>% do Total</t>
        </is>
      </c>
      <c r="E5" s="10" t="inlineStr">
        <is>
          <t>% Acumulado</t>
        </is>
      </c>
      <c r="F5" s="10" t="inlineStr">
        <is>
          <t>Classe</t>
        </is>
      </c>
    </row>
    <row r="6">
      <c r="A6" t="inlineStr">
        <is>
          <t>MAT003</t>
        </is>
      </c>
      <c r="B6" t="inlineStr">
        <is>
          <t>MDP Branco 18mm</t>
        </is>
      </c>
      <c r="C6" s="20" t="n">
        <v>7200</v>
      </c>
      <c r="D6" s="21" t="n">
        <v>0.223</v>
      </c>
      <c r="E6" s="21" t="n">
        <v>0.223</v>
      </c>
      <c r="F6" s="22" t="inlineStr">
        <is>
          <t>A</t>
        </is>
      </c>
    </row>
    <row r="7">
      <c r="A7" t="inlineStr">
        <is>
          <t>MAT001</t>
        </is>
      </c>
      <c r="B7" t="inlineStr">
        <is>
          <t>MDF Branco 18mm</t>
        </is>
      </c>
      <c r="C7" s="20" t="n">
        <v>6840</v>
      </c>
      <c r="D7" s="21" t="n">
        <v>0.212</v>
      </c>
      <c r="E7" s="21" t="n">
        <v>0.435</v>
      </c>
      <c r="F7" s="22" t="inlineStr">
        <is>
          <t>A</t>
        </is>
      </c>
    </row>
    <row r="8">
      <c r="A8" t="inlineStr">
        <is>
          <t>MAT002</t>
        </is>
      </c>
      <c r="B8" t="inlineStr">
        <is>
          <t>MDF Amadeirado 18mm</t>
        </is>
      </c>
      <c r="C8" s="20" t="n">
        <v>5600</v>
      </c>
      <c r="D8" s="21" t="n">
        <v>0.173</v>
      </c>
      <c r="E8" s="21" t="n">
        <v>0.608</v>
      </c>
      <c r="F8" s="22" t="inlineStr">
        <is>
          <t>A</t>
        </is>
      </c>
    </row>
    <row r="9">
      <c r="A9" t="inlineStr">
        <is>
          <t>MAT004</t>
        </is>
      </c>
      <c r="B9" t="inlineStr">
        <is>
          <t>MDP Amadeirado 18mm</t>
        </is>
      </c>
      <c r="C9" s="20" t="n">
        <v>5000</v>
      </c>
      <c r="D9" s="21" t="n">
        <v>0.155</v>
      </c>
      <c r="E9" s="21" t="n">
        <v>0.763</v>
      </c>
      <c r="F9" s="23" t="inlineStr">
        <is>
          <t>B</t>
        </is>
      </c>
    </row>
    <row r="10">
      <c r="A10" t="inlineStr">
        <is>
          <t>MAT007</t>
        </is>
      </c>
      <c r="B10" t="inlineStr">
        <is>
          <t>Corrediça Telescópica 45cm</t>
        </is>
      </c>
      <c r="C10" s="20" t="n">
        <v>3430</v>
      </c>
      <c r="D10" s="21" t="n">
        <v>0.106</v>
      </c>
      <c r="E10" s="21" t="n">
        <v>0.869</v>
      </c>
      <c r="F10" s="23" t="inlineStr">
        <is>
          <t>B</t>
        </is>
      </c>
    </row>
    <row r="11">
      <c r="A11" t="inlineStr">
        <is>
          <t>MAT005</t>
        </is>
      </c>
      <c r="B11" t="inlineStr">
        <is>
          <t>Fita de Borda PVC 22mm</t>
        </is>
      </c>
      <c r="C11" s="20" t="n">
        <v>1698</v>
      </c>
      <c r="D11" s="21" t="n">
        <v>0.052</v>
      </c>
      <c r="E11" s="21" t="n">
        <v>0.921</v>
      </c>
      <c r="F11" s="24" t="inlineStr">
        <is>
          <t>C</t>
        </is>
      </c>
    </row>
    <row r="12">
      <c r="A12" t="inlineStr">
        <is>
          <t>MAT008</t>
        </is>
      </c>
      <c r="B12" t="inlineStr">
        <is>
          <t>Puxador Inox 128mm</t>
        </is>
      </c>
      <c r="C12" s="20" t="n">
        <v>1740</v>
      </c>
      <c r="D12" s="21" t="n">
        <v>0.054</v>
      </c>
      <c r="E12" s="21" t="n">
        <v>0.975</v>
      </c>
      <c r="F12" s="24" t="inlineStr">
        <is>
          <t>C</t>
        </is>
      </c>
    </row>
    <row r="13">
      <c r="A13" t="inlineStr">
        <is>
          <t>MAT006</t>
        </is>
      </c>
      <c r="B13" t="inlineStr">
        <is>
          <t>Dobradiça Caneco 35mm</t>
        </is>
      </c>
      <c r="C13" s="20" t="n">
        <v>1216</v>
      </c>
      <c r="D13" s="21" t="n">
        <v>0.038</v>
      </c>
      <c r="E13" s="21" t="n">
        <v>1.013</v>
      </c>
      <c r="F13" s="24" t="inlineStr">
        <is>
          <t>C</t>
        </is>
      </c>
    </row>
    <row r="16">
      <c r="A16" s="17" t="inlineStr">
        <is>
          <t>💡 INTERPRETAÇÃO:</t>
        </is>
      </c>
    </row>
    <row r="18" ht="30" customHeight="1">
      <c r="A18" s="7" t="inlineStr">
        <is>
          <t>Classe A (20% dos itens, 80% do valor)</t>
        </is>
      </c>
      <c r="B18" s="13" t="inlineStr">
        <is>
          <t>Controle RÍGIDO: contagem semanal, negociação direta com fornecedor</t>
        </is>
      </c>
    </row>
    <row r="19" ht="30" customHeight="1">
      <c r="A19" s="7" t="inlineStr">
        <is>
          <t>Classe B (30% dos itens, 15% do valor)</t>
        </is>
      </c>
      <c r="B19" s="13" t="inlineStr">
        <is>
          <t>Controle MÉDIO: contagem quinzenal, revisão mensal</t>
        </is>
      </c>
    </row>
    <row r="20" ht="30" customHeight="1">
      <c r="A20" s="7" t="inlineStr">
        <is>
          <t>Classe C (50% dos itens, 5% do valor)</t>
        </is>
      </c>
      <c r="B20" s="13" t="inlineStr">
        <is>
          <t>Controle MÍNIMO: contagem mensal, compra quando acabar</t>
        </is>
      </c>
    </row>
  </sheetData>
  <mergeCells count="5">
    <mergeCell ref="B20:F20"/>
    <mergeCell ref="A1:F1"/>
    <mergeCell ref="B19:F19"/>
    <mergeCell ref="A3:F3"/>
    <mergeCell ref="B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4" customWidth="1" min="4" max="4"/>
    <col width="12" customWidth="1" min="5" max="5"/>
    <col width="12" customWidth="1" min="6" max="6"/>
    <col width="20" customWidth="1" min="7" max="7"/>
  </cols>
  <sheetData>
    <row r="1">
      <c r="A1" s="25" t="inlineStr">
        <is>
          <t>⚠️ ALERTAS DE REPOSIÇÃO</t>
        </is>
      </c>
    </row>
    <row r="3">
      <c r="A3" s="26" t="inlineStr">
        <is>
          <t>Materiais que PRECISAM SER COMPRADOS agora (abaixo do estoque mínimo)</t>
        </is>
      </c>
    </row>
    <row r="5">
      <c r="A5" s="27" t="inlineStr">
        <is>
          <t>Código</t>
        </is>
      </c>
      <c r="B5" s="27" t="inlineStr">
        <is>
          <t>Material</t>
        </is>
      </c>
      <c r="C5" s="27" t="inlineStr">
        <is>
          <t>Saldo Atual</t>
        </is>
      </c>
      <c r="D5" s="27" t="inlineStr">
        <is>
          <t>Estoque Mínimo</t>
        </is>
      </c>
      <c r="E5" s="27" t="inlineStr">
        <is>
          <t>Diferença</t>
        </is>
      </c>
      <c r="F5" s="27" t="inlineStr">
        <is>
          <t>Lead Time</t>
        </is>
      </c>
      <c r="G5" s="27" t="inlineStr">
        <is>
          <t>Fornecedor</t>
        </is>
      </c>
    </row>
    <row r="6">
      <c r="A6" s="7" t="inlineStr">
        <is>
          <t>MAT009</t>
        </is>
      </c>
      <c r="B6" t="inlineStr">
        <is>
          <t>Cola Branca Marceneiro</t>
        </is>
      </c>
      <c r="C6" s="28" t="n">
        <v>18</v>
      </c>
      <c r="D6" s="29" t="n">
        <v>20</v>
      </c>
      <c r="E6" s="30" t="n">
        <v>-2</v>
      </c>
      <c r="F6" t="n">
        <v>3</v>
      </c>
      <c r="G6" t="inlineStr">
        <is>
          <t>local</t>
        </is>
      </c>
    </row>
    <row r="7">
      <c r="A7" s="7" t="inlineStr">
        <is>
          <t>MAT010</t>
        </is>
      </c>
      <c r="B7" t="inlineStr">
        <is>
          <t>Parafuso 4x30mm</t>
        </is>
      </c>
      <c r="C7" s="28" t="n">
        <v>9</v>
      </c>
      <c r="D7" s="29" t="n">
        <v>10</v>
      </c>
      <c r="E7" s="30" t="n">
        <v>-1</v>
      </c>
      <c r="F7" t="n">
        <v>7</v>
      </c>
      <c r="G7" t="inlineStr">
        <is>
          <t>local</t>
        </is>
      </c>
    </row>
    <row r="10">
      <c r="A10" s="31" t="inlineStr">
        <is>
          <t>🔴 AÇÃO IMEDIATA:</t>
        </is>
      </c>
    </row>
    <row r="12">
      <c r="A12" s="7" t="inlineStr">
        <is>
          <t>1. Entre em contato com os fornecedores HOJE</t>
        </is>
      </c>
    </row>
    <row r="13">
      <c r="A13" s="7" t="inlineStr">
        <is>
          <t>2. Faça pedido considerando o Lead Time de cada um</t>
        </is>
      </c>
    </row>
    <row r="14">
      <c r="A14" s="7" t="inlineStr">
        <is>
          <t>3. Marque na agenda a data prevista de entrega</t>
        </is>
      </c>
    </row>
    <row r="15">
      <c r="A15" s="7" t="inlineStr">
        <is>
          <t>4. Quando chegar, registre ENTRADA na aba 'Movimentações'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5" t="inlineStr">
        <is>
          <t>📊 DASHBOARD DE ESTOQUE</t>
        </is>
      </c>
    </row>
    <row r="4">
      <c r="A4" s="32" t="inlineStr">
        <is>
          <t>VALOR TOTAL EM ESTOQUE</t>
        </is>
      </c>
      <c r="B4" s="33">
        <f>'4. Saldo Atual'!F14</f>
        <v/>
      </c>
    </row>
    <row r="5">
      <c r="A5" s="32" t="inlineStr">
        <is>
          <t>ITENS CRÍTICOS (abaixo mínimo)</t>
        </is>
      </c>
      <c r="B5" s="34">
        <f>COUNTIF('4. Saldo Atual'!G:G,"🔴 CRÍTICO")</f>
        <v/>
      </c>
    </row>
    <row r="6">
      <c r="A6" s="32" t="inlineStr">
        <is>
          <t>ITENS EM ATENÇÃO</t>
        </is>
      </c>
      <c r="B6" s="34">
        <f>COUNTIF('4. Saldo Atual'!G:G,"⚠️ ATENÇÃO")</f>
        <v/>
      </c>
    </row>
    <row r="9">
      <c r="A9" s="17" t="inlineStr">
        <is>
          <t>VALOR POR CATEGORIA:</t>
        </is>
      </c>
    </row>
    <row r="11">
      <c r="A11" t="inlineStr">
        <is>
          <t>Chapa</t>
        </is>
      </c>
      <c r="B11" s="35">
        <f>SUMIF('2. Cadastro de Materiais'!H:H,"Chapa",'4. Saldo Atual'!F:F)</f>
        <v/>
      </c>
    </row>
    <row r="12">
      <c r="A12" t="inlineStr">
        <is>
          <t>Acabamento</t>
        </is>
      </c>
      <c r="B12" s="35">
        <f>SUMIF('2. Cadastro de Materiais'!H:H,"Acabamento",'4. Saldo Atual'!F:F)</f>
        <v/>
      </c>
    </row>
    <row r="13">
      <c r="A13" t="inlineStr">
        <is>
          <t>Ferragem</t>
        </is>
      </c>
      <c r="B13" s="35">
        <f>SUMIF('2. Cadastro de Materiais'!H:H,"Ferragem",'4. Saldo Atual'!F:F)</f>
        <v/>
      </c>
    </row>
    <row r="14">
      <c r="A14" t="inlineStr">
        <is>
          <t>Químico</t>
        </is>
      </c>
      <c r="B14" s="35">
        <f>SUMIF('2. Cadastro de Materiais'!H:H,"Químico",'4. Saldo Atual'!F:F)</f>
        <v/>
      </c>
    </row>
    <row r="15">
      <c r="A15" t="inlineStr">
        <is>
          <t>Fixação</t>
        </is>
      </c>
      <c r="B15" s="35">
        <f>SUMIF('2. Cadastro de Materiais'!H:H,"Fixação",'4. Saldo Atual'!F:F)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2026-04-22T02:29:25Z</dcterms:created>
  <dcterms:modified xmlns:dcterms="http://purl.org/dc/terms/" xmlns:xsi="http://www.w3.org/2001/XMLSchema-instance" xsi:type="dcterms:W3CDTF">2026-04-22T02:30:22Z</dcterms:modified>
</cp:coreProperties>
</file>