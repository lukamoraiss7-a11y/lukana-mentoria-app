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mo Usar" sheetId="1" state="visible" r:id="rId1"/>
    <sheet xmlns:r="http://schemas.openxmlformats.org/officeDocument/2006/relationships" name="2. Dados Base" sheetId="2" state="visible" r:id="rId2"/>
    <sheet xmlns:r="http://schemas.openxmlformats.org/officeDocument/2006/relationships" name="3. Calculadora" sheetId="3" state="visible" r:id="rId3"/>
    <sheet xmlns:r="http://schemas.openxmlformats.org/officeDocument/2006/relationships" name="4. Simulador" sheetId="4" state="visible" r:id="rId4"/>
    <sheet xmlns:r="http://schemas.openxmlformats.org/officeDocument/2006/relationships" name="5. Tabela Referência" sheetId="5" state="visible" r:id="rId5"/>
    <sheet xmlns:r="http://schemas.openxmlformats.org/officeDocument/2006/relationships" name="6. Históric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"/>
    <numFmt numFmtId="166" formatCode="R$ #,##0"/>
  </numFmts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  <sz val="12"/>
    </font>
    <font>
      <b val="1"/>
      <sz val="10"/>
    </font>
    <font>
      <sz val="10"/>
    </font>
    <font>
      <b val="1"/>
      <color rgb="00FFFFFF"/>
      <sz val="14"/>
    </font>
    <font>
      <b val="1"/>
    </font>
    <font>
      <i val="1"/>
      <sz val="9"/>
    </font>
    <font>
      <b val="1"/>
      <color rgb="00FFFFFF"/>
    </font>
    <font>
      <b val="1"/>
      <color rgb="00FFFFFF"/>
      <sz val="12"/>
    </font>
    <font>
      <b val="1"/>
      <sz val="11"/>
    </font>
    <font/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164" fontId="0" fillId="3" borderId="0" pivotButton="0" quotePrefix="0" xfId="0"/>
    <xf numFmtId="9" fontId="0" fillId="3" borderId="0" pivotButton="0" quotePrefix="0" xfId="0"/>
    <xf numFmtId="0" fontId="7" fillId="0" borderId="0" pivotButton="0" quotePrefix="0" xfId="0"/>
    <xf numFmtId="2" fontId="0" fillId="3" borderId="0" pivotButton="0" quotePrefix="0" xfId="0"/>
    <xf numFmtId="0" fontId="0" fillId="3" borderId="0" pivotButton="0" quotePrefix="0" xfId="0"/>
    <xf numFmtId="165" fontId="0" fillId="3" borderId="0" pivotButton="0" quotePrefix="0" xfId="0"/>
    <xf numFmtId="2" fontId="0" fillId="4" borderId="0" pivotButton="0" quotePrefix="0" xfId="0"/>
    <xf numFmtId="164" fontId="0" fillId="4" borderId="0" pivotButton="0" quotePrefix="0" xfId="0"/>
    <xf numFmtId="0" fontId="8" fillId="5" borderId="0" pivotButton="0" quotePrefix="0" xfId="0"/>
    <xf numFmtId="164" fontId="9" fillId="5" borderId="0" pivotButton="0" quotePrefix="0" xfId="0"/>
    <xf numFmtId="9" fontId="0" fillId="4" borderId="0" pivotButton="0" quotePrefix="0" xfId="0"/>
    <xf numFmtId="0" fontId="10" fillId="0" borderId="0" pivotButton="0" quotePrefix="0" xfId="0"/>
    <xf numFmtId="0" fontId="8" fillId="6" borderId="0" pivotButton="0" quotePrefix="0" xfId="0"/>
    <xf numFmtId="9" fontId="0" fillId="0" borderId="0" pivotButton="0" quotePrefix="0" xfId="0"/>
    <xf numFmtId="164" fontId="0" fillId="0" borderId="0" pivotButton="0" quotePrefix="0" xfId="0"/>
    <xf numFmtId="164" fontId="6" fillId="0" borderId="0" pivotButton="0" quotePrefix="0" xfId="0"/>
    <xf numFmtId="0" fontId="11" fillId="0" borderId="0" pivotButton="0" quotePrefix="0" xfId="0"/>
    <xf numFmtId="166" fontId="0" fillId="0" borderId="0" pivotButton="0" quotePrefix="0" xfId="0"/>
    <xf numFmtId="166" fontId="0" fillId="4" borderId="0" pivotButton="0" quotePrefix="0" xfId="0"/>
    <xf numFmtId="0" fontId="0" fillId="0" borderId="0" applyAlignment="1" pivotButton="0" quotePrefix="0" xfId="0">
      <alignment wrapText="1"/>
    </xf>
    <xf numFmtId="2" fontId="0" fillId="0" borderId="0" pivotButton="0" quotePrefix="0" xfId="0"/>
    <xf numFmtId="9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 ht="30" customHeight="1">
      <c r="A1" s="1" t="inlineStr">
        <is>
          <t>PRECIFICAÇÃO AVANÇADA PRO — LUKANA MARCENARIA</t>
        </is>
      </c>
    </row>
    <row r="4">
      <c r="A4" s="2" t="inlineStr">
        <is>
          <t>BEM-VINDO À CALCULADORA DE PRECIFICAÇÃO PRO</t>
        </is>
      </c>
    </row>
    <row r="6">
      <c r="A6" s="2" t="inlineStr">
        <is>
          <t>Esta planilha calcula o preço ideal de cada projeto com MARGEM GARANTIDA de 35%.</t>
        </is>
      </c>
    </row>
    <row r="8">
      <c r="A8" s="2" t="inlineStr">
        <is>
          <t>📋 COMO USAR:</t>
        </is>
      </c>
    </row>
    <row r="10">
      <c r="A10" s="3" t="inlineStr">
        <is>
          <t>1️⃣ CONFIGURE SEUS DADOS BASE</t>
        </is>
      </c>
      <c r="B10" s="4" t="inlineStr">
        <is>
          <t>Aba '2. Dados Base' - custos de material, MO, perda técnica, margem desejada</t>
        </is>
      </c>
    </row>
    <row r="11">
      <c r="A11" s="3" t="inlineStr">
        <is>
          <t>2️⃣ USE A CALCULADORA</t>
        </is>
      </c>
      <c r="B11" s="4" t="inlineStr">
        <is>
          <t>Aba '3. Calculadora' - digite tamanho do projeto e complexidade → preço sai automaticamente</t>
        </is>
      </c>
    </row>
    <row r="12">
      <c r="A12" s="3" t="inlineStr">
        <is>
          <t>3️⃣ SIMULE CENÁRIOS</t>
        </is>
      </c>
      <c r="B12" s="4" t="inlineStr">
        <is>
          <t>Aba '4. Simulador' - veja como mudanças de margem/material impactam o preço final</t>
        </is>
      </c>
    </row>
    <row r="13">
      <c r="A13" s="3" t="inlineStr">
        <is>
          <t>4️⃣ CONSULTE TABELA DE REFERÊNCIA</t>
        </is>
      </c>
      <c r="B13" s="4" t="inlineStr">
        <is>
          <t>Aba '5. Tabela Referência' - preços por m² frontal de cada tipo de móvel</t>
        </is>
      </c>
    </row>
    <row r="14">
      <c r="A14" s="3" t="inlineStr">
        <is>
          <t>5️⃣ REGISTRE ORÇAMENTOS</t>
        </is>
      </c>
      <c r="B14" s="4" t="inlineStr">
        <is>
          <t>Aba '6. Histórico' - guarde todos os orçamentos feitos</t>
        </is>
      </c>
    </row>
    <row r="16">
      <c r="A16" s="2" t="inlineStr">
        <is>
          <t>⚠️ CAMPOS AMARELOS = VOCÊ PREENCHE</t>
        </is>
      </c>
    </row>
    <row r="17">
      <c r="A17" s="2" t="inlineStr">
        <is>
          <t>⚠️ CAMPOS CINZA = CÁLCULO AUTOMÁTICO</t>
        </is>
      </c>
    </row>
    <row r="19">
      <c r="A19" s="2" t="inlineStr">
        <is>
          <t>💡 FATOR DE COMPLEXIDADE:</t>
        </is>
      </c>
    </row>
    <row r="20">
      <c r="A20" s="2" t="inlineStr">
        <is>
          <t xml:space="preserve">   • Simples (1.0) = Armário reto, sem gaveta, sem LED</t>
        </is>
      </c>
    </row>
    <row r="21">
      <c r="A21" s="2" t="inlineStr">
        <is>
          <t xml:space="preserve">   • Médio (1.3) = Cozinha padrão com gavetas</t>
        </is>
      </c>
    </row>
    <row r="22">
      <c r="A22" s="2" t="inlineStr">
        <is>
          <t xml:space="preserve">   • Alto (1.6) = Closet com gavetas internas + LED</t>
        </is>
      </c>
    </row>
    <row r="23">
      <c r="A23" s="2" t="inlineStr">
        <is>
          <t xml:space="preserve">   • Muito Alto (2.0) = Móvel curvo, laca, design especial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5" customWidth="1" min="3" max="3"/>
  </cols>
  <sheetData>
    <row r="1">
      <c r="A1" s="5" t="inlineStr">
        <is>
          <t>DADOS BASE DE PRECIFICAÇÃO</t>
        </is>
      </c>
    </row>
    <row r="3">
      <c r="A3" s="2" t="inlineStr">
        <is>
          <t>📦 CUSTOS DE MATERIAL (por m² real)</t>
        </is>
      </c>
    </row>
    <row r="4">
      <c r="A4" s="6" t="inlineStr">
        <is>
          <t>Material</t>
        </is>
      </c>
      <c r="B4" s="6" t="inlineStr">
        <is>
          <t>Custo/m² (R$)</t>
        </is>
      </c>
    </row>
    <row r="5">
      <c r="A5" t="inlineStr">
        <is>
          <t>MDF Branco 18mm</t>
        </is>
      </c>
      <c r="B5" s="7" t="n">
        <v>120</v>
      </c>
    </row>
    <row r="6">
      <c r="A6" t="inlineStr">
        <is>
          <t>MDF Amadeirado 18mm</t>
        </is>
      </c>
      <c r="B6" s="7" t="n">
        <v>140</v>
      </c>
    </row>
    <row r="7">
      <c r="A7" t="inlineStr">
        <is>
          <t>MDP Branco 18mm</t>
        </is>
      </c>
      <c r="B7" s="7" t="n">
        <v>90</v>
      </c>
    </row>
    <row r="8">
      <c r="A8" t="inlineStr">
        <is>
          <t>MDP Amadeirado 18mm</t>
        </is>
      </c>
      <c r="B8" s="7" t="n">
        <v>100</v>
      </c>
    </row>
    <row r="10">
      <c r="A10" s="2" t="inlineStr">
        <is>
          <t>👷 MÃO DE OBRA</t>
        </is>
      </c>
    </row>
    <row r="12">
      <c r="A12" t="inlineStr">
        <is>
          <t>Custo MO por m² real (padrão simples):</t>
        </is>
      </c>
      <c r="B12" s="7" t="n">
        <v>90</v>
      </c>
    </row>
    <row r="15">
      <c r="A15" s="2" t="inlineStr">
        <is>
          <t>⚙️ PARÂMETROS DE CÁLCULO</t>
        </is>
      </c>
    </row>
    <row r="17">
      <c r="A17" t="inlineStr">
        <is>
          <t>Perda Técnica (%):</t>
        </is>
      </c>
      <c r="B17" s="8" t="n">
        <v>0.15</v>
      </c>
      <c r="C17" s="9" t="inlineStr">
        <is>
          <t>15% do material</t>
        </is>
      </c>
    </row>
    <row r="18">
      <c r="A18" t="inlineStr">
        <is>
          <t>Conversão m² frontal → m² real:</t>
        </is>
      </c>
      <c r="B18" s="10" t="n">
        <v>2.46</v>
      </c>
      <c r="C18" s="9" t="inlineStr">
        <is>
          <t>Multiplicador padrão indústria</t>
        </is>
      </c>
    </row>
    <row r="19">
      <c r="A19" t="inlineStr">
        <is>
          <t>Margem mínima desejada (%):</t>
        </is>
      </c>
      <c r="B19" s="8" t="n">
        <v>0.35</v>
      </c>
      <c r="C19" s="9" t="inlineStr">
        <is>
          <t>35% de lucro</t>
        </is>
      </c>
    </row>
    <row r="20">
      <c r="A20" t="inlineStr">
        <is>
          <t>Custo fixo diluído médio (R$):</t>
        </is>
      </c>
      <c r="B20" s="7" t="n">
        <v>2000</v>
      </c>
      <c r="C20" s="9" t="inlineStr">
        <is>
          <t>Por projeto médio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</cols>
  <sheetData>
    <row r="1">
      <c r="A1" s="5" t="inlineStr">
        <is>
          <t>🧮 CALCULADORA DE PREÇO</t>
        </is>
      </c>
    </row>
    <row r="3">
      <c r="A3" s="2" t="inlineStr">
        <is>
          <t>📝 DADOS DO PROJETO</t>
        </is>
      </c>
    </row>
    <row r="5">
      <c r="A5" s="6" t="inlineStr">
        <is>
          <t>Tamanho (m² frontais):</t>
        </is>
      </c>
      <c r="B5" s="10" t="n">
        <v>8</v>
      </c>
    </row>
    <row r="6">
      <c r="A6" s="6" t="inlineStr">
        <is>
          <t>Material escolhido:</t>
        </is>
      </c>
      <c r="B6" s="11" t="inlineStr">
        <is>
          <t>MDF Branco 18mm</t>
        </is>
      </c>
    </row>
    <row r="7">
      <c r="A7" s="6" t="inlineStr">
        <is>
          <t>Complexidade:</t>
        </is>
      </c>
      <c r="B7" s="12" t="n">
        <v>1.3</v>
      </c>
    </row>
    <row r="10">
      <c r="A10" s="2" t="inlineStr">
        <is>
          <t>💰 CÁLCULO AUTOMÁTICO</t>
        </is>
      </c>
    </row>
    <row r="12">
      <c r="A12" t="inlineStr">
        <is>
          <t>m² reais (frontal × 2,46):</t>
        </is>
      </c>
      <c r="B12" s="13">
        <f>B5*'2. Dados Base'!B18</f>
        <v/>
      </c>
    </row>
    <row r="13">
      <c r="A13" t="inlineStr">
        <is>
          <t>Custo material bruto:</t>
        </is>
      </c>
      <c r="B13" s="14">
        <f>B12*'2. Dados Base'!B5</f>
        <v/>
      </c>
    </row>
    <row r="14">
      <c r="A14" t="inlineStr">
        <is>
          <t>+ Perda técnica (15%):</t>
        </is>
      </c>
      <c r="B14" s="14">
        <f>B13*0.15</f>
        <v/>
      </c>
    </row>
    <row r="15">
      <c r="A15" s="15">
        <f> Material REAL:</f>
        <v/>
      </c>
      <c r="B15" s="16">
        <f>B13+B14</f>
        <v/>
      </c>
    </row>
    <row r="16">
      <c r="A16" t="inlineStr">
        <is>
          <t>Custo MO:</t>
        </is>
      </c>
      <c r="B16" s="14">
        <f>B12*'2. Dados Base'!B12*B7</f>
        <v/>
      </c>
    </row>
    <row r="17">
      <c r="A17" t="inlineStr">
        <is>
          <t>Custo fixo diluído:</t>
        </is>
      </c>
      <c r="B17" s="14">
        <f>'2. Dados Base'!B20</f>
        <v/>
      </c>
    </row>
    <row r="18">
      <c r="A18" s="15">
        <f> CUSTO TOTAL:</f>
        <v/>
      </c>
      <c r="B18" s="16">
        <f>B15+B16+B17</f>
        <v/>
      </c>
    </row>
    <row r="19">
      <c r="A19" t="inlineStr">
        <is>
          <t>Margem desejada (35%):</t>
        </is>
      </c>
      <c r="B19" s="17">
        <f>'2. Dados Base'!B19</f>
        <v/>
      </c>
    </row>
    <row r="20">
      <c r="A20" s="15">
        <f> PREÇO FINAL:</f>
        <v/>
      </c>
      <c r="B20" s="16">
        <f>B18/(1-B19)</f>
        <v/>
      </c>
    </row>
    <row r="21">
      <c r="A21" t="inlineStr">
        <is>
          <t>Preço por m² frontal:</t>
        </is>
      </c>
      <c r="B21" s="14">
        <f>B20/B5</f>
        <v/>
      </c>
    </row>
    <row r="25">
      <c r="A25" s="18" t="inlineStr">
        <is>
          <t>✅ VALIDAÇÃO:</t>
        </is>
      </c>
      <c r="B25" s="6">
        <f>IF(B19&gt;=0.35,"✅ Margem OK (35%+)","⚠️ Margem abaixo do ideal")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5" t="inlineStr">
        <is>
          <t>🔄 SIMULADOR DE CENÁRIOS</t>
        </is>
      </c>
    </row>
    <row r="3">
      <c r="A3" t="inlineStr">
        <is>
          <t>Veja como mudanças de margem, material ou MO impactam o preço final</t>
        </is>
      </c>
    </row>
    <row r="5">
      <c r="A5" s="19" t="inlineStr">
        <is>
          <t>Cenário</t>
        </is>
      </c>
      <c r="B5" s="19" t="inlineStr">
        <is>
          <t>Margem (%)</t>
        </is>
      </c>
      <c r="C5" s="19" t="inlineStr">
        <is>
          <t>Custo Material</t>
        </is>
      </c>
      <c r="D5" s="19" t="inlineStr">
        <is>
          <t>Custo MO</t>
        </is>
      </c>
      <c r="E5" s="19" t="inlineStr">
        <is>
          <t>Preço Final</t>
        </is>
      </c>
      <c r="F5" s="19" t="inlineStr">
        <is>
          <t>Diferença</t>
        </is>
      </c>
    </row>
    <row r="6">
      <c r="A6" s="6" t="inlineStr">
        <is>
          <t>BASE (35% margem)</t>
        </is>
      </c>
      <c r="B6" s="20" t="n">
        <v>0.35</v>
      </c>
      <c r="C6" s="21">
        <f>'3. Calculadora'!B15</f>
        <v/>
      </c>
      <c r="D6" s="21">
        <f>'3. Calculadora'!B16</f>
        <v/>
      </c>
      <c r="E6" s="22">
        <f>(C6+D6+'2. Dados Base'!B20)/(1-B6)</f>
        <v/>
      </c>
    </row>
    <row r="7">
      <c r="A7" s="23" t="inlineStr">
        <is>
          <t>Margem Agressiva (40%)</t>
        </is>
      </c>
      <c r="B7" s="20" t="n">
        <v>0.4</v>
      </c>
      <c r="C7" s="21">
        <f>'3. Calculadora'!B15</f>
        <v/>
      </c>
      <c r="D7" s="21">
        <f>'3. Calculadora'!B16</f>
        <v/>
      </c>
      <c r="E7" s="22">
        <f>(C7+D7+'2. Dados Base'!B20)/(1-B7)</f>
        <v/>
      </c>
      <c r="F7" s="21">
        <f>E7-$E$6</f>
        <v/>
      </c>
    </row>
    <row r="8">
      <c r="A8" s="23" t="inlineStr">
        <is>
          <t>Margem Mínima (30%)</t>
        </is>
      </c>
      <c r="B8" s="20" t="n">
        <v>0.3</v>
      </c>
      <c r="C8" s="21">
        <f>'3. Calculadora'!B15</f>
        <v/>
      </c>
      <c r="D8" s="21">
        <f>'3. Calculadora'!B16</f>
        <v/>
      </c>
      <c r="E8" s="22">
        <f>(C8+D8+'2. Dados Base'!B20)/(1-B8)</f>
        <v/>
      </c>
      <c r="F8" s="21">
        <f>E8-$E$6</f>
        <v/>
      </c>
    </row>
    <row r="9">
      <c r="A9" s="23" t="inlineStr">
        <is>
          <t>Material Premium (+20%)</t>
        </is>
      </c>
      <c r="B9" s="20" t="n">
        <v>0.35</v>
      </c>
      <c r="C9" s="21">
        <f>'3. Calculadora'!B15*1.2</f>
        <v/>
      </c>
      <c r="D9" s="21">
        <f>'3. Calculadora'!B16</f>
        <v/>
      </c>
      <c r="E9" s="22">
        <f>(C9+D9+'2. Dados Base'!B20)/(1-B9)</f>
        <v/>
      </c>
      <c r="F9" s="21">
        <f>E9-$E$6</f>
        <v/>
      </c>
    </row>
    <row r="10">
      <c r="A10" s="23" t="inlineStr">
        <is>
          <t>Material Econômico (-15%)</t>
        </is>
      </c>
      <c r="B10" s="20" t="n">
        <v>0.35</v>
      </c>
      <c r="C10" s="21">
        <f>'3. Calculadora'!B15*0.85</f>
        <v/>
      </c>
      <c r="D10" s="21">
        <f>'3. Calculadora'!B16</f>
        <v/>
      </c>
      <c r="E10" s="22">
        <f>(C10+D10+'2. Dados Base'!B20)/(1-B10)</f>
        <v/>
      </c>
      <c r="F10" s="21">
        <f>E10-$E$6</f>
        <v/>
      </c>
    </row>
  </sheetData>
  <mergeCells count="2">
    <mergeCell ref="A3:F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📊 TABELA DE PREÇOS DE REFERÊNCIA</t>
        </is>
      </c>
    </row>
    <row r="3">
      <c r="A3" t="inlineStr">
        <is>
          <t>Preços sugeridos por m² frontal (baseado em margem de 35%)</t>
        </is>
      </c>
    </row>
    <row r="5">
      <c r="A5" s="19" t="inlineStr">
        <is>
          <t>Tipo de Móvel</t>
        </is>
      </c>
      <c r="B5" s="19" t="inlineStr">
        <is>
          <t>Complexidade</t>
        </is>
      </c>
      <c r="C5" s="19" t="inlineStr">
        <is>
          <t>Preço/m² Frontal</t>
        </is>
      </c>
      <c r="D5" s="19" t="inlineStr">
        <is>
          <t>Exemplo 8m²</t>
        </is>
      </c>
    </row>
    <row r="6">
      <c r="A6" t="inlineStr">
        <is>
          <t>Armário Simples</t>
        </is>
      </c>
      <c r="B6" t="inlineStr">
        <is>
          <t>Baixa (1.0)</t>
        </is>
      </c>
      <c r="C6" s="24" t="n">
        <v>1400</v>
      </c>
      <c r="D6" s="25" t="n">
        <v>11200</v>
      </c>
    </row>
    <row r="7">
      <c r="A7" t="inlineStr">
        <is>
          <t>Guarda-roupa Padrão</t>
        </is>
      </c>
      <c r="B7" t="inlineStr">
        <is>
          <t>Média (1.3)</t>
        </is>
      </c>
      <c r="C7" s="24" t="n">
        <v>1700</v>
      </c>
      <c r="D7" s="25" t="n">
        <v>13600</v>
      </c>
    </row>
    <row r="8">
      <c r="A8" t="inlineStr">
        <is>
          <t>Cozinha Completa</t>
        </is>
      </c>
      <c r="B8" t="inlineStr">
        <is>
          <t>Média-Alta (1.4)</t>
        </is>
      </c>
      <c r="C8" s="24" t="n">
        <v>2000</v>
      </c>
      <c r="D8" s="25" t="n">
        <v>16000</v>
      </c>
    </row>
    <row r="9">
      <c r="A9" t="inlineStr">
        <is>
          <t>Closet Básico</t>
        </is>
      </c>
      <c r="B9" t="inlineStr">
        <is>
          <t>Alta (1.6)</t>
        </is>
      </c>
      <c r="C9" s="24" t="n">
        <v>2400</v>
      </c>
      <c r="D9" s="25" t="n">
        <v>19200</v>
      </c>
    </row>
    <row r="10">
      <c r="A10" t="inlineStr">
        <is>
          <t>Home Office</t>
        </is>
      </c>
      <c r="B10" t="inlineStr">
        <is>
          <t>Média-Alta (1.5)</t>
        </is>
      </c>
      <c r="C10" s="24" t="n">
        <v>2200</v>
      </c>
      <c r="D10" s="25" t="n">
        <v>17600</v>
      </c>
    </row>
    <row r="11">
      <c r="A11" t="inlineStr">
        <is>
          <t>Banheiro Planejado</t>
        </is>
      </c>
      <c r="B11" t="inlineStr">
        <is>
          <t>Muito Alta (1.8)</t>
        </is>
      </c>
      <c r="C11" s="24" t="n">
        <v>2600</v>
      </c>
      <c r="D11" s="25" t="n">
        <v>20800</v>
      </c>
    </row>
    <row r="13">
      <c r="A13" s="18" t="inlineStr">
        <is>
          <t>💡 Como usar esta tabela:</t>
        </is>
      </c>
    </row>
    <row r="14" ht="30" customHeight="1">
      <c r="A14" s="26" t="inlineStr">
        <is>
          <t>1. Cliente pede orçamento de cozinha de 10m² → você já sabe: R$ 2.000/m² × 10 = R$ 20.000 (estimativa rápida)</t>
        </is>
      </c>
    </row>
  </sheetData>
  <mergeCells count="4">
    <mergeCell ref="A1:D1"/>
    <mergeCell ref="A13:D13"/>
    <mergeCell ref="A3:D3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16" customWidth="1" min="5" max="5"/>
    <col width="12" customWidth="1" min="6" max="6"/>
    <col width="14" customWidth="1" min="7" max="7"/>
    <col width="12" customWidth="1" min="8" max="8"/>
  </cols>
  <sheetData>
    <row r="1">
      <c r="A1" s="5" t="inlineStr">
        <is>
          <t>📋 HISTÓRICO DE ORÇAMENTOS</t>
        </is>
      </c>
    </row>
    <row r="3">
      <c r="A3" s="19" t="inlineStr">
        <is>
          <t>Data</t>
        </is>
      </c>
      <c r="B3" s="19" t="inlineStr">
        <is>
          <t>Cliente</t>
        </is>
      </c>
      <c r="C3" s="19" t="inlineStr">
        <is>
          <t>Tipo Móvel</t>
        </is>
      </c>
      <c r="D3" s="19" t="inlineStr">
        <is>
          <t>m² Frontal</t>
        </is>
      </c>
      <c r="E3" s="19" t="inlineStr">
        <is>
          <t>Preço Orçado</t>
        </is>
      </c>
      <c r="F3" s="19" t="inlineStr">
        <is>
          <t>Status</t>
        </is>
      </c>
      <c r="G3" s="19" t="inlineStr">
        <is>
          <t>Preço/m²</t>
        </is>
      </c>
      <c r="H3" s="19" t="inlineStr">
        <is>
          <t>Margem %</t>
        </is>
      </c>
    </row>
    <row r="4">
      <c r="A4" t="inlineStr">
        <is>
          <t>15/04/2025</t>
        </is>
      </c>
      <c r="B4" t="inlineStr">
        <is>
          <t>João Silva</t>
        </is>
      </c>
      <c r="C4" t="inlineStr">
        <is>
          <t>Cozinha</t>
        </is>
      </c>
      <c r="D4" s="27" t="n">
        <v>10</v>
      </c>
      <c r="E4" s="21" t="n">
        <v>20000</v>
      </c>
      <c r="F4" t="inlineStr">
        <is>
          <t>Fechado</t>
        </is>
      </c>
      <c r="G4" s="21">
        <f>E4/D4</f>
        <v/>
      </c>
      <c r="H4" s="20" t="n">
        <v>0.35</v>
      </c>
    </row>
    <row r="5">
      <c r="A5" t="inlineStr">
        <is>
          <t>18/04/2025</t>
        </is>
      </c>
      <c r="B5" t="inlineStr">
        <is>
          <t>Maria Santos</t>
        </is>
      </c>
      <c r="C5" t="inlineStr">
        <is>
          <t>Closet</t>
        </is>
      </c>
      <c r="D5" s="27" t="n">
        <v>12</v>
      </c>
      <c r="E5" s="21" t="n">
        <v>28800</v>
      </c>
      <c r="F5" t="inlineStr">
        <is>
          <t>Pendente</t>
        </is>
      </c>
      <c r="G5" s="21">
        <f>E5/D5</f>
        <v/>
      </c>
      <c r="H5" s="20" t="n">
        <v>0.35</v>
      </c>
    </row>
    <row r="7">
      <c r="A7" s="18" t="inlineStr">
        <is>
          <t>ESTATÍSTICAS:</t>
        </is>
      </c>
    </row>
    <row r="9">
      <c r="A9" t="inlineStr">
        <is>
          <t>Total de Orçamentos:</t>
        </is>
      </c>
      <c r="B9" s="6">
        <f>COUNTA(B4:B100)</f>
        <v/>
      </c>
    </row>
    <row r="10">
      <c r="A10" t="inlineStr">
        <is>
          <t>Ticket Médio:</t>
        </is>
      </c>
      <c r="B10" s="22">
        <f>AVERAGE(E4:E100)</f>
        <v/>
      </c>
    </row>
    <row r="11">
      <c r="A11" t="inlineStr">
        <is>
          <t>Taxa de Conversão:</t>
        </is>
      </c>
      <c r="B11" s="28">
        <f>COUNTIF(F4:F100,"Fechado")/COUNTA(F4:F100)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2026-04-22T02:18:20Z</dcterms:created>
  <dcterms:modified xmlns:dcterms="http://purl.org/dc/terms/" xmlns:xsi="http://www.w3.org/2001/XMLSchema-instance" xsi:type="dcterms:W3CDTF">2026-04-22T02:19:51Z</dcterms:modified>
</cp:coreProperties>
</file>