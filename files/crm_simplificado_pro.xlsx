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mo Usar" sheetId="1" state="visible" r:id="rId1"/>
    <sheet xmlns:r="http://schemas.openxmlformats.org/officeDocument/2006/relationships" name="2. Funil Comercial" sheetId="2" state="visible" r:id="rId2"/>
    <sheet xmlns:r="http://schemas.openxmlformats.org/officeDocument/2006/relationships" name="3. Agenda Follow-up" sheetId="3" state="visible" r:id="rId3"/>
    <sheet xmlns:r="http://schemas.openxmlformats.org/officeDocument/2006/relationships" name="4. Taxa de Conversão" sheetId="4" state="visible" r:id="rId4"/>
    <sheet xmlns:r="http://schemas.openxmlformats.org/officeDocument/2006/relationships" name="5. Ind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"/>
    <numFmt numFmtId="165" formatCode="0.0%"/>
    <numFmt numFmtId="166" formatCode="R$ #,##0.00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  <sz val="12"/>
    </font>
    <font>
      <b val="1"/>
      <sz val="10"/>
    </font>
    <font>
      <sz val="10"/>
    </font>
    <font>
      <b val="1"/>
      <color rgb="00FFFFFF"/>
      <sz val="14"/>
    </font>
    <font>
      <b val="1"/>
      <color rgb="00FFFFFF"/>
    </font>
    <font>
      <i val="1"/>
      <sz val="10"/>
    </font>
    <font>
      <b val="1"/>
      <sz val="11"/>
    </font>
    <font>
      <i val="1"/>
      <sz val="9"/>
    </font>
    <font>
      <b val="1"/>
      <color rgb="00FFFFFF"/>
      <sz val="11"/>
    </font>
    <font>
      <b val="1"/>
      <color rgb="00FFFFFF"/>
      <sz val="12"/>
    </font>
    <font>
      <b val="1"/>
    </font>
    <font>
      <b val="1"/>
      <sz val="12"/>
    </font>
    <font/>
    <font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FFC7CE"/>
        <bgColor rgb="00FFC7CE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applyAlignment="1" pivotButton="0" quotePrefix="0" xfId="0">
      <alignment horizontal="center" wrapText="1"/>
    </xf>
    <xf numFmtId="0" fontId="0" fillId="4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6" fillId="3" borderId="0" pivotButton="0" quotePrefix="0" xfId="0"/>
    <xf numFmtId="1" fontId="0" fillId="5" borderId="0" pivotButton="0" quotePrefix="0" xfId="0"/>
    <xf numFmtId="0" fontId="8" fillId="0" borderId="0" pivotButton="0" quotePrefix="0" xfId="0"/>
    <xf numFmtId="1" fontId="0" fillId="0" borderId="0" pivotButton="0" quotePrefix="0" xfId="0"/>
    <xf numFmtId="0" fontId="9" fillId="0" borderId="0" pivotButton="0" quotePrefix="0" xfId="0"/>
    <xf numFmtId="9" fontId="0" fillId="0" borderId="0" pivotButton="0" quotePrefix="0" xfId="0"/>
    <xf numFmtId="0" fontId="10" fillId="6" borderId="0" pivotButton="0" quotePrefix="0" xfId="0"/>
    <xf numFmtId="9" fontId="11" fillId="6" borderId="0" pivotButton="0" quotePrefix="0" xfId="0"/>
    <xf numFmtId="0" fontId="12" fillId="0" borderId="0" pivotButton="0" quotePrefix="0" xfId="0"/>
    <xf numFmtId="1" fontId="13" fillId="0" borderId="0" pivotButton="0" quotePrefix="0" xfId="0"/>
    <xf numFmtId="165" fontId="13" fillId="0" borderId="0" pivotButton="0" quotePrefix="0" xfId="0"/>
    <xf numFmtId="0" fontId="14" fillId="0" borderId="0" pivotButton="0" quotePrefix="0" xfId="0"/>
    <xf numFmtId="166" fontId="13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 ht="30" customHeight="1">
      <c r="A1" s="1" t="inlineStr">
        <is>
          <t>CRM SIMPLIFICADO — LUKANA MARCENARIA</t>
        </is>
      </c>
    </row>
    <row r="4">
      <c r="A4" s="2" t="inlineStr">
        <is>
          <t>BEM-VINDO AO CRM SIMPLIFICADO</t>
        </is>
      </c>
    </row>
    <row r="6">
      <c r="A6" s="2" t="inlineStr">
        <is>
          <t>Esta planilha organiza TODOS os seus leads e vendas num único lugar.</t>
        </is>
      </c>
    </row>
    <row r="8">
      <c r="A8" s="2" t="inlineStr">
        <is>
          <t>📋 COMO USAR:</t>
        </is>
      </c>
    </row>
    <row r="10">
      <c r="A10" s="3" t="inlineStr">
        <is>
          <t>1️⃣ REGISTRE LEADS</t>
        </is>
      </c>
      <c r="B10" s="4" t="inlineStr">
        <is>
          <t>Aba '2. Funil Comercial' - cada lead que entrar, você registra</t>
        </is>
      </c>
    </row>
    <row r="11">
      <c r="A11" s="3" t="inlineStr">
        <is>
          <t>2️⃣ ACOMPANHE STATUS</t>
        </is>
      </c>
      <c r="B11" s="4" t="inlineStr">
        <is>
          <t>Mova o lead de status conforme ele avança (Lead Novo → Visita → Proposta → Fechado)</t>
        </is>
      </c>
    </row>
    <row r="12">
      <c r="A12" s="3" t="inlineStr">
        <is>
          <t>3️⃣ FOLLOW-UP AUTOMATIZADO</t>
        </is>
      </c>
      <c r="B12" s="4" t="inlineStr">
        <is>
          <t>Aba '3. Agenda Follow-up' mostra quem você precisa contatar hoje</t>
        </is>
      </c>
    </row>
    <row r="13">
      <c r="A13" s="3" t="inlineStr">
        <is>
          <t>4️⃣ ANALISE CONVERSÃO</t>
        </is>
      </c>
      <c r="B13" s="4" t="inlineStr">
        <is>
          <t>Aba '4. Taxa de Conversão' mostra quantos % viram venda</t>
        </is>
      </c>
    </row>
    <row r="14">
      <c r="A14" s="3" t="inlineStr">
        <is>
          <t>5️⃣ ACOMPANHE TICKET MÉDIO</t>
        </is>
      </c>
      <c r="B14" s="4" t="inlineStr">
        <is>
          <t>Aba '5. Indicadores' mostra valor médio por venda</t>
        </is>
      </c>
    </row>
    <row r="16">
      <c r="A16" s="2" t="inlineStr">
        <is>
          <t>⚠️ STATUS POSSÍVEIS:</t>
        </is>
      </c>
    </row>
    <row r="17">
      <c r="A17" s="2" t="inlineStr">
        <is>
          <t xml:space="preserve">   • Lead Novo = acabou de entrar</t>
        </is>
      </c>
    </row>
    <row r="18">
      <c r="A18" s="2" t="inlineStr">
        <is>
          <t xml:space="preserve">   • Qualificação = em conversa inicial</t>
        </is>
      </c>
    </row>
    <row r="19">
      <c r="A19" s="2" t="inlineStr">
        <is>
          <t xml:space="preserve">   • Visita Agendada = marcou visita técnica</t>
        </is>
      </c>
    </row>
    <row r="20">
      <c r="A20" s="2" t="inlineStr">
        <is>
          <t xml:space="preserve">   • Proposta Enviada = já recebeu projeto 3D + orçamento</t>
        </is>
      </c>
    </row>
    <row r="21">
      <c r="A21" s="2" t="inlineStr">
        <is>
          <t xml:space="preserve">   • Negociação = interessado mas tem objeção</t>
        </is>
      </c>
    </row>
    <row r="22">
      <c r="A22" s="2" t="inlineStr">
        <is>
          <t xml:space="preserve">   • Fechado = pagou entrada</t>
        </is>
      </c>
    </row>
    <row r="23">
      <c r="A23" s="2" t="inlineStr">
        <is>
          <t xml:space="preserve">   • Perdido = desistiu</t>
        </is>
      </c>
    </row>
    <row r="25">
      <c r="A25" s="3" t="inlineStr">
        <is>
          <t>💡 DICA:</t>
        </is>
      </c>
      <c r="B25" s="4" t="inlineStr">
        <is>
          <t>Atualize o CRM TODO DIA (15min no final do dia)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14" customWidth="1" min="5" max="5"/>
    <col width="18" customWidth="1" min="6" max="6"/>
    <col width="14" customWidth="1" min="7" max="7"/>
    <col width="12" customWidth="1" min="8" max="8"/>
    <col width="14" customWidth="1" min="9" max="9"/>
    <col width="40" customWidth="1" min="10" max="10"/>
  </cols>
  <sheetData>
    <row r="1">
      <c r="A1" s="5" t="inlineStr">
        <is>
          <t>🎯 FUNIL COMERCIAL</t>
        </is>
      </c>
    </row>
    <row r="3">
      <c r="A3" s="6" t="inlineStr">
        <is>
          <t>Lead</t>
        </is>
      </c>
      <c r="B3" s="6" t="inlineStr">
        <is>
          <t>Contato</t>
        </is>
      </c>
      <c r="C3" s="6" t="inlineStr">
        <is>
          <t>Origem</t>
        </is>
      </c>
      <c r="D3" s="6" t="inlineStr">
        <is>
          <t>Ambiente</t>
        </is>
      </c>
      <c r="E3" s="6" t="inlineStr">
        <is>
          <t>Budget</t>
        </is>
      </c>
      <c r="F3" s="6" t="inlineStr">
        <is>
          <t>Status</t>
        </is>
      </c>
      <c r="G3" s="6" t="inlineStr">
        <is>
          <t>Próx Follow-up</t>
        </is>
      </c>
      <c r="H3" s="6" t="inlineStr">
        <is>
          <t>Dias no Funil</t>
        </is>
      </c>
      <c r="I3" s="6" t="inlineStr">
        <is>
          <t>Valor Orçado</t>
        </is>
      </c>
      <c r="J3" s="6" t="inlineStr">
        <is>
          <t>Observações</t>
        </is>
      </c>
    </row>
    <row r="4">
      <c r="A4" t="inlineStr">
        <is>
          <t>João Silva</t>
        </is>
      </c>
      <c r="B4" t="inlineStr">
        <is>
          <t>(67) 99999-9999</t>
        </is>
      </c>
      <c r="C4" t="inlineStr">
        <is>
          <t>Instagram</t>
        </is>
      </c>
      <c r="D4" t="inlineStr">
        <is>
          <t>Cozinha</t>
        </is>
      </c>
      <c r="E4" t="inlineStr">
        <is>
          <t>R$ 15-20k</t>
        </is>
      </c>
      <c r="F4" s="7" t="inlineStr">
        <is>
          <t>Proposta Enviada</t>
        </is>
      </c>
      <c r="G4" t="inlineStr">
        <is>
          <t>22/04/2025</t>
        </is>
      </c>
      <c r="H4" t="n">
        <v>8</v>
      </c>
      <c r="I4" s="8" t="n">
        <v>18500</v>
      </c>
      <c r="J4" s="9" t="inlineStr">
        <is>
          <t>Gostou do projeto, vai mostrar pra esposa</t>
        </is>
      </c>
    </row>
    <row r="5">
      <c r="A5" t="inlineStr">
        <is>
          <t>Maria Souza</t>
        </is>
      </c>
      <c r="B5" t="inlineStr">
        <is>
          <t>(67) 98888-8888</t>
        </is>
      </c>
      <c r="C5" t="inlineStr">
        <is>
          <t>Google Ads</t>
        </is>
      </c>
      <c r="D5" t="inlineStr">
        <is>
          <t>Closet</t>
        </is>
      </c>
      <c r="E5" t="inlineStr">
        <is>
          <t>R$ 25-30k</t>
        </is>
      </c>
      <c r="F5" t="inlineStr">
        <is>
          <t>Visita Agendada</t>
        </is>
      </c>
      <c r="G5" t="inlineStr">
        <is>
          <t>24/04/2025</t>
        </is>
      </c>
      <c r="H5" t="n">
        <v>3</v>
      </c>
      <c r="I5" t="inlineStr"/>
      <c r="J5" s="9" t="inlineStr">
        <is>
          <t>Visita técnica marcada 24/04 10h</t>
        </is>
      </c>
    </row>
    <row r="6">
      <c r="A6" t="inlineStr">
        <is>
          <t>Pedro Costa</t>
        </is>
      </c>
      <c r="B6" t="inlineStr">
        <is>
          <t>(67) 97777-7777</t>
        </is>
      </c>
      <c r="C6" t="inlineStr">
        <is>
          <t>Indicação</t>
        </is>
      </c>
      <c r="D6" t="inlineStr">
        <is>
          <t>Quarto completo</t>
        </is>
      </c>
      <c r="E6" t="inlineStr">
        <is>
          <t>Não informou</t>
        </is>
      </c>
      <c r="F6" t="inlineStr">
        <is>
          <t>Qualificação</t>
        </is>
      </c>
      <c r="G6" t="inlineStr">
        <is>
          <t>23/04/2025</t>
        </is>
      </c>
      <c r="H6" t="n">
        <v>2</v>
      </c>
      <c r="I6" t="inlineStr"/>
      <c r="J6" s="9" t="inlineStr">
        <is>
          <t>Aguardando resposta</t>
        </is>
      </c>
    </row>
  </sheetData>
  <mergeCells count="1">
    <mergeCell ref="A1:J1"/>
  </mergeCells>
  <dataValidations count="1">
    <dataValidation sqref="F4:F1000" showDropDown="0" showInputMessage="0" showErrorMessage="0" allowBlank="0" type="list">
      <formula1>"Lead Novo,Qualificação,Visita Agendada,Visita Realizada,Proposta Enviada,Negociação,Fechado,Perdido"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6" customWidth="1" min="4" max="4"/>
    <col width="14" customWidth="1" min="5" max="5"/>
    <col width="50" customWidth="1" min="6" max="6"/>
  </cols>
  <sheetData>
    <row r="1">
      <c r="A1" s="5" t="inlineStr">
        <is>
          <t>📅 AGENDA DE FOLLOW-UP</t>
        </is>
      </c>
    </row>
    <row r="3">
      <c r="A3" s="10" t="inlineStr">
        <is>
          <t>Leads que precisam de follow-up HOJE ou atrasados</t>
        </is>
      </c>
    </row>
    <row r="5">
      <c r="A5" s="11" t="inlineStr">
        <is>
          <t>Lead</t>
        </is>
      </c>
      <c r="B5" s="11" t="inlineStr">
        <is>
          <t>Contato</t>
        </is>
      </c>
      <c r="C5" s="11" t="inlineStr">
        <is>
          <t>Status</t>
        </is>
      </c>
      <c r="D5" s="11" t="inlineStr">
        <is>
          <t>Próx Follow-up</t>
        </is>
      </c>
      <c r="E5" s="11" t="inlineStr">
        <is>
          <t>Dias Atrasado</t>
        </is>
      </c>
      <c r="F5" s="11" t="inlineStr">
        <is>
          <t>Ação</t>
        </is>
      </c>
    </row>
    <row r="7">
      <c r="A7" t="inlineStr">
        <is>
          <t>João Silva</t>
        </is>
      </c>
      <c r="B7" t="inlineStr">
        <is>
          <t>(67) 99999-9999</t>
        </is>
      </c>
      <c r="C7" t="inlineStr">
        <is>
          <t>Proposta Enviada</t>
        </is>
      </c>
      <c r="D7" t="inlineStr">
        <is>
          <t>22/04/2025</t>
        </is>
      </c>
      <c r="E7" s="12">
        <f>TODAY()-D7</f>
        <v/>
      </c>
      <c r="F7" t="inlineStr">
        <is>
          <t>Ligar/WhatsApp perguntando se viu proposta</t>
        </is>
      </c>
    </row>
    <row r="10">
      <c r="A10" s="13" t="inlineStr">
        <is>
          <t>💡 COMO USAR:</t>
        </is>
      </c>
    </row>
    <row r="11">
      <c r="A11" t="inlineStr">
        <is>
          <t>1. Todo dia de manhã, abra esta aba</t>
        </is>
      </c>
    </row>
    <row r="12">
      <c r="A12" t="inlineStr">
        <is>
          <t>2. Contate todos os leads listados</t>
        </is>
      </c>
    </row>
    <row r="13">
      <c r="A13" t="inlineStr">
        <is>
          <t>3. Atualize o status na aba 'Funil Comercial'</t>
        </is>
      </c>
    </row>
    <row r="14">
      <c r="A14" t="inlineStr">
        <is>
          <t>4. Defina nova data de follow-up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4" customWidth="1" min="4" max="4"/>
  </cols>
  <sheetData>
    <row r="1">
      <c r="A1" s="5" t="inlineStr">
        <is>
          <t>📊 TAXA DE CONVERSÃO POR ETAPA</t>
        </is>
      </c>
    </row>
    <row r="3">
      <c r="A3" s="11" t="inlineStr">
        <is>
          <t>Etapa</t>
        </is>
      </c>
      <c r="B3" s="11" t="inlineStr">
        <is>
          <t>Quantidade</t>
        </is>
      </c>
      <c r="C3" s="11" t="inlineStr">
        <is>
          <t>Taxa Conversão</t>
        </is>
      </c>
      <c r="D3" s="11" t="inlineStr">
        <is>
          <t>Benchmark</t>
        </is>
      </c>
    </row>
    <row r="4">
      <c r="A4" s="13" t="inlineStr">
        <is>
          <t>Leads Novos</t>
        </is>
      </c>
      <c r="B4" s="14">
        <f>COUNTIF('2. Funil Comercial'!F:F,"Lead Novo")+COUNTIF('2. Funil Comercial'!F:F,"Qualificação")+COUNTIF('2. Funil Comercial'!F:F,"Visita Agendada")+COUNTIF('2. Funil Comercial'!F:F,"Visita Realizada")+COUNTIF('2. Funil Comercial'!F:F,"Proposta Enviada")+COUNTIF('2. Funil Comercial'!F:F,"Negociação")+COUNTIF('2. Funil Comercial'!F:F,"Fechado")</f>
        <v/>
      </c>
      <c r="C4" t="inlineStr"/>
      <c r="D4" s="15" t="inlineStr">
        <is>
          <t>100%</t>
        </is>
      </c>
    </row>
    <row r="5">
      <c r="A5" t="inlineStr">
        <is>
          <t>→ Visita Agendada</t>
        </is>
      </c>
      <c r="B5" s="14">
        <f>COUNTIF('2. Funil Comercial'!F:F,"Visita Agendada")+COUNTIF('2. Funil Comercial'!F:F,"Visita Realizada")+COUNTIF('2. Funil Comercial'!F:F,"Proposta Enviada")+COUNTIF('2. Funil Comercial'!F:F,"Negociação")+COUNTIF('2. Funil Comercial'!F:F,"Fechado")</f>
        <v/>
      </c>
      <c r="C5" s="16">
        <f>B5/B4</f>
        <v/>
      </c>
      <c r="D5" s="15" t="inlineStr">
        <is>
          <t>60-80%</t>
        </is>
      </c>
    </row>
    <row r="6">
      <c r="A6" t="inlineStr">
        <is>
          <t>→ Proposta Enviada</t>
        </is>
      </c>
      <c r="B6" s="14">
        <f>COUNTIF('2. Funil Comercial'!F:F,"Proposta Enviada")+COUNTIF('2. Funil Comercial'!F:F,"Negociação")+COUNTIF('2. Funil Comercial'!F:F,"Fechado")</f>
        <v/>
      </c>
      <c r="C6" s="16">
        <f>B6/B5</f>
        <v/>
      </c>
      <c r="D6" s="15" t="inlineStr">
        <is>
          <t>80-90%</t>
        </is>
      </c>
    </row>
    <row r="7">
      <c r="A7" t="inlineStr">
        <is>
          <t>→ Fechado</t>
        </is>
      </c>
      <c r="B7" s="14">
        <f>COUNTIF('2. Funil Comercial'!F:F,"Fechado")</f>
        <v/>
      </c>
      <c r="C7" s="16">
        <f>B7/B6</f>
        <v/>
      </c>
      <c r="D7" s="15" t="inlineStr">
        <is>
          <t>30-50%</t>
        </is>
      </c>
    </row>
    <row r="8">
      <c r="A8" t="inlineStr"/>
      <c r="B8" t="inlineStr"/>
      <c r="C8" t="inlineStr"/>
      <c r="D8" s="15" t="inlineStr"/>
    </row>
    <row r="9">
      <c r="A9" s="17" t="inlineStr">
        <is>
          <t>CONVERSÃO GERAL (Lead → Venda)</t>
        </is>
      </c>
      <c r="B9" s="14">
        <f>B7/B4</f>
        <v/>
      </c>
      <c r="C9" s="18">
        <f>B9</f>
        <v/>
      </c>
      <c r="D9" s="15" t="inlineStr">
        <is>
          <t>15-25%</t>
        </is>
      </c>
    </row>
    <row r="12">
      <c r="A12" s="13" t="inlineStr">
        <is>
          <t>💡 ONDE MELHORAR:</t>
        </is>
      </c>
    </row>
    <row r="13">
      <c r="A13">
        <f>IF(C5&lt;0.6,"🔴 Poucos leads viram visita - melhore qualificação inicial",IF(C6&lt;0.8,"⚠️ Muita visita não vira proposta - valide processo de medição","✅ Funil saudável"))</f>
        <v/>
      </c>
    </row>
  </sheetData>
  <mergeCells count="2">
    <mergeCell ref="A1:D1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5" t="inlineStr">
        <is>
          <t>📈 INDICADORES COMERCIAIS</t>
        </is>
      </c>
    </row>
    <row r="4">
      <c r="A4" s="19" t="inlineStr">
        <is>
          <t>Total de Leads</t>
        </is>
      </c>
      <c r="B4" s="20">
        <f>COUNTA('2. Funil Comercial'!A4:A1000)</f>
        <v/>
      </c>
    </row>
    <row r="5">
      <c r="A5" s="19" t="inlineStr">
        <is>
          <t>Leads Ativos (não perdidos)</t>
        </is>
      </c>
      <c r="B5" s="20">
        <f>COUNTA('2. Funil Comercial'!F:F)-COUNTIF('2. Funil Comercial'!F:F,"Perdido")-COUNTIF('2. Funil Comercial'!F:F,"Fechado")</f>
        <v/>
      </c>
    </row>
    <row r="6">
      <c r="A6" s="19" t="inlineStr">
        <is>
          <t>Vendas Fechadas</t>
        </is>
      </c>
      <c r="B6" s="20">
        <f>COUNTIF('2. Funil Comercial'!F:F,"Fechado")</f>
        <v/>
      </c>
    </row>
    <row r="7">
      <c r="A7" s="19" t="inlineStr">
        <is>
          <t>Taxa de Conversão Geral</t>
        </is>
      </c>
      <c r="B7" s="21">
        <f>C6/C4</f>
        <v/>
      </c>
    </row>
    <row r="8">
      <c r="A8" s="22" t="inlineStr"/>
    </row>
    <row r="9">
      <c r="A9" s="19" t="inlineStr">
        <is>
          <t>Ticket Médio</t>
        </is>
      </c>
      <c r="B9" s="23">
        <f>AVERAGEIF('2. Funil Comercial'!F:F,"Fechado",'2. Funil Comercial'!I:I)</f>
        <v/>
      </c>
    </row>
    <row r="10">
      <c r="A10" s="19" t="inlineStr">
        <is>
          <t>Faturamento Total (vendas fechadas)</t>
        </is>
      </c>
      <c r="B10" s="23">
        <f>SUMIF('2. Funil Comercial'!F:F,"Fechado",'2. Funil Comercial'!I:I)</f>
        <v/>
      </c>
    </row>
    <row r="11">
      <c r="A11" s="22" t="inlineStr"/>
    </row>
    <row r="12">
      <c r="A12" s="19" t="inlineStr">
        <is>
          <t>Tempo Médio de Fechamento (dias)</t>
        </is>
      </c>
      <c r="B12" s="20">
        <f>AVERAGEIF('2. Funil Comercial'!F:F,"Fechado",'2. Funil Comercial'!H:H)</f>
        <v/>
      </c>
    </row>
    <row r="13">
      <c r="A13" s="22" t="inlineStr"/>
    </row>
    <row r="14">
      <c r="A14" s="24" t="inlineStr">
        <is>
          <t>Motivos de Perda (TOP 3):</t>
        </is>
      </c>
    </row>
    <row r="15">
      <c r="A15" s="4" t="inlineStr">
        <is>
          <t xml:space="preserve">   • Preço alto</t>
        </is>
      </c>
      <c r="B15" s="20">
        <f>COUNTIFS('2. Funil Comercial'!F:F,"Perdido",'2. Funil Comercial'!J:J,"*preço*")</f>
        <v/>
      </c>
    </row>
    <row r="16">
      <c r="A16" s="4" t="inlineStr">
        <is>
          <t xml:space="preserve">   • Prazo longo</t>
        </is>
      </c>
      <c r="B16" s="20">
        <f>COUNTIFS('2. Funil Comercial'!F:F,"Perdido",'2. Funil Comercial'!J:J,"*prazo*")</f>
        <v/>
      </c>
    </row>
    <row r="17">
      <c r="A17" s="4" t="inlineStr">
        <is>
          <t xml:space="preserve">   • Desistiu</t>
        </is>
      </c>
      <c r="B17" s="20">
        <f>COUNTIFS('2. Funil Comercial'!F:F,"Perdido",'2. Funil Comercial'!J:J,"*desistiu*")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2026-04-22T02:25:04Z</dcterms:created>
  <dcterms:modified xmlns:dcterms="http://purl.org/dc/terms/" xmlns:xsi="http://www.w3.org/2001/XMLSchema-instance" xsi:type="dcterms:W3CDTF">2026-04-22T02:25:04Z</dcterms:modified>
</cp:coreProperties>
</file>