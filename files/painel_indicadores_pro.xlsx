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mo Usar" sheetId="1" state="visible" r:id="rId1"/>
    <sheet xmlns:r="http://schemas.openxmlformats.org/officeDocument/2006/relationships" name="2. Dashboard" sheetId="2" state="visible" r:id="rId2"/>
    <sheet xmlns:r="http://schemas.openxmlformats.org/officeDocument/2006/relationships" name="3. Evolução Mensal" sheetId="3" state="visible" r:id="rId3"/>
    <sheet xmlns:r="http://schemas.openxmlformats.org/officeDocument/2006/relationships" name="4. Metas" sheetId="4" state="visible" r:id="rId4"/>
    <sheet xmlns:r="http://schemas.openxmlformats.org/officeDocument/2006/relationships" name="5. Análise Rápi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"/>
    <numFmt numFmtId="165" formatCode="0.0%"/>
  </numFmts>
  <fonts count="1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  <sz val="12"/>
    </font>
    <font>
      <b val="1"/>
      <sz val="10"/>
    </font>
    <font>
      <sz val="10"/>
    </font>
    <font>
      <b val="1"/>
      <color rgb="00FFFFFF"/>
      <sz val="9"/>
    </font>
    <font>
      <b val="1"/>
      <color rgb="00FFFFFF"/>
    </font>
    <font>
      <b val="1"/>
    </font>
    <font>
      <b val="1"/>
      <sz val="11"/>
    </font>
    <font>
      <i val="1"/>
      <sz val="9"/>
    </font>
    <font>
      <b val="1"/>
      <color rgb="00FFFFFF"/>
      <sz val="14"/>
    </font>
    <font>
      <b val="1"/>
      <sz val="14"/>
    </font>
    <font>
      <b val="1"/>
      <sz val="12"/>
    </font>
    <font>
      <i val="1"/>
      <sz val="10"/>
    </font>
    <font>
      <b val="1"/>
      <color rgb="001F4E78"/>
      <sz val="11"/>
    </font>
    <font>
      <b val="1"/>
      <color rgb="00C00000"/>
      <sz val="12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5B9BD5"/>
        <bgColor rgb="005B9BD5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1" fillId="3" borderId="0" applyAlignment="1" pivotButton="0" quotePrefix="0" xfId="0">
      <alignment horizontal="center"/>
    </xf>
    <xf numFmtId="165" fontId="1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164" fontId="1" fillId="5" borderId="0" applyAlignment="1" pivotButton="0" quotePrefix="0" xfId="0">
      <alignment horizontal="center"/>
    </xf>
    <xf numFmtId="165" fontId="1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164" fontId="1" fillId="7" borderId="0" applyAlignment="1" pivotButton="0" quotePrefix="0" xfId="0">
      <alignment horizontal="center"/>
    </xf>
    <xf numFmtId="1" fontId="1" fillId="8" borderId="0" applyAlignment="1" pivotButton="0" quotePrefix="0" xfId="0">
      <alignment horizontal="center"/>
    </xf>
    <xf numFmtId="0" fontId="6" fillId="3" borderId="0" pivotButton="0" quotePrefix="0" xfId="0"/>
    <xf numFmtId="0" fontId="7" fillId="0" borderId="0" pivotButton="0" quotePrefix="0" xfId="0"/>
    <xf numFmtId="165" fontId="8" fillId="0" borderId="0" pivotButton="0" quotePrefix="0" xfId="0"/>
    <xf numFmtId="0" fontId="9" fillId="0" borderId="0" pivotButton="0" quotePrefix="0" xfId="0"/>
    <xf numFmtId="1" fontId="8" fillId="0" borderId="0" pivotButton="0" quotePrefix="0" xfId="0"/>
    <xf numFmtId="0" fontId="10" fillId="2" borderId="0" pivotButton="0" quotePrefix="0" xfId="0"/>
    <xf numFmtId="0" fontId="6" fillId="3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11" fillId="0" borderId="0" applyAlignment="1" pivotButton="0" quotePrefix="0" xfId="0">
      <alignment horizontal="center"/>
    </xf>
    <xf numFmtId="0" fontId="8" fillId="0" borderId="0" pivotButton="0" quotePrefix="0" xfId="0"/>
    <xf numFmtId="3" fontId="0" fillId="0" borderId="0" pivotButton="0" quotePrefix="0" xfId="0"/>
    <xf numFmtId="3" fontId="7" fillId="0" borderId="0" pivotButton="0" quotePrefix="0" xfId="0"/>
    <xf numFmtId="165" fontId="7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de Faturamento (6 meses)</a:t>
            </a:r>
          </a:p>
        </rich>
      </tx>
    </title>
    <plotArea>
      <lineChart>
        <grouping val="standard"/>
        <ser>
          <idx val="0"/>
          <order val="0"/>
          <tx>
            <strRef>
              <f>'3. Evolução Mensal'!B3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'3. Evolução Mensal'!$A$4:$A$9</f>
            </numRef>
          </cat>
          <val>
            <numRef>
              <f>'3. Evolução Mensal'!$B$4:$B$9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 ht="30" customHeight="1">
      <c r="A1" s="1" t="inlineStr">
        <is>
          <t>PAINEL DE INDICADORES PRO — LUKANA MARCENARIA</t>
        </is>
      </c>
    </row>
    <row r="3"/>
    <row r="4">
      <c r="A4" s="2" t="inlineStr">
        <is>
          <t>BEM-VINDO AO PAINEL DE INDICADORES PRO</t>
        </is>
      </c>
    </row>
    <row r="5"/>
    <row r="6">
      <c r="A6" s="2" t="inlineStr">
        <is>
          <t>Este é o COCKPIT da sua marcenaria.</t>
        </is>
      </c>
    </row>
    <row r="7">
      <c r="A7" s="2" t="inlineStr">
        <is>
          <t>Aqui você vê TUDO que importa num único lugar.</t>
        </is>
      </c>
    </row>
    <row r="8"/>
    <row r="9">
      <c r="A9" s="2" t="inlineStr">
        <is>
          <t>📋 COMO USAR:</t>
        </is>
      </c>
    </row>
    <row r="10"/>
    <row r="11">
      <c r="A11" s="3" t="inlineStr">
        <is>
          <t>1️⃣ ALIMENTA AS OUTRAS PLANILHAS</t>
        </is>
      </c>
      <c r="B11" s="4" t="inlineStr">
        <is>
          <t>Este painel puxa dados de: Diagnóstico Financeiro, CRM, Estoque, PCP</t>
        </is>
      </c>
    </row>
    <row r="12">
      <c r="A12" s="3" t="inlineStr">
        <is>
          <t>2️⃣ ATUALIZA AUTOMÁTICO</t>
        </is>
      </c>
      <c r="B12" s="4" t="inlineStr">
        <is>
          <t>Sempre que você atualizar as outras planilhas, os indicadores aqui mudam</t>
        </is>
      </c>
    </row>
    <row r="13">
      <c r="A13" s="3" t="inlineStr">
        <is>
          <t>3️⃣ DASHBOARD EXECUTIVO</t>
        </is>
      </c>
      <c r="B13" s="4" t="inlineStr">
        <is>
          <t>Aba '2. Dashboard' mostra os 10 KPIs principais</t>
        </is>
      </c>
    </row>
    <row r="14">
      <c r="A14" s="3" t="inlineStr">
        <is>
          <t>4️⃣ ANÁLISE MENSAL</t>
        </is>
      </c>
      <c r="B14" s="4" t="inlineStr">
        <is>
          <t>Aba '3. Evolução Mensal' mostra tendências (subindo ou caindo)</t>
        </is>
      </c>
    </row>
    <row r="15">
      <c r="A15" s="3" t="inlineStr">
        <is>
          <t>5️⃣ METAS vs REALIZADO</t>
        </is>
      </c>
      <c r="B15" s="4" t="inlineStr">
        <is>
          <t>Aba '4. Metas' compara onde você tá vs onde deveria estar</t>
        </is>
      </c>
    </row>
    <row r="16"/>
    <row r="17">
      <c r="A17" s="2" t="inlineStr">
        <is>
          <t>⚠️ IMPORTANTE:</t>
        </is>
      </c>
    </row>
    <row r="18">
      <c r="A18" s="2" t="inlineStr">
        <is>
          <t>Esta planilha NÃO tem campos para preencher.</t>
        </is>
      </c>
    </row>
    <row r="19">
      <c r="A19" s="2" t="inlineStr">
        <is>
          <t>Ela IMPORTA dados das outras planilhas.</t>
        </is>
      </c>
    </row>
    <row r="20"/>
    <row r="21">
      <c r="A21" s="2" t="inlineStr">
        <is>
          <t>💡 OS 10 KPIs ESSENCIAIS:</t>
        </is>
      </c>
    </row>
    <row r="22">
      <c r="A22" s="2" t="inlineStr">
        <is>
          <t>1. Faturamento Mensal</t>
        </is>
      </c>
    </row>
    <row r="23">
      <c r="A23" s="2" t="inlineStr">
        <is>
          <t>2. Margem Líquida %</t>
        </is>
      </c>
    </row>
    <row r="24">
      <c r="A24" s="2" t="inlineStr">
        <is>
          <t>3. Ticket Médio</t>
        </is>
      </c>
    </row>
    <row r="25">
      <c r="A25" s="2" t="inlineStr">
        <is>
          <t>4. Taxa de Conversão (lead → venda)</t>
        </is>
      </c>
    </row>
    <row r="26">
      <c r="A26" s="2" t="inlineStr">
        <is>
          <t>5. Valor em Estoque</t>
        </is>
      </c>
    </row>
    <row r="27">
      <c r="A27" s="2" t="inlineStr">
        <is>
          <t>6. Projetos em Produção</t>
        </is>
      </c>
    </row>
    <row r="28">
      <c r="A28" s="2" t="inlineStr">
        <is>
          <t>7. Taxa Entrega no Prazo</t>
        </is>
      </c>
    </row>
    <row r="29">
      <c r="A29" s="2" t="inlineStr">
        <is>
          <t>8. Custo Fixo/Faturamento %</t>
        </is>
      </c>
    </row>
    <row r="30">
      <c r="A30" s="2" t="inlineStr">
        <is>
          <t>9. Perda Técnica %</t>
        </is>
      </c>
    </row>
    <row r="31">
      <c r="A31" s="2" t="inlineStr">
        <is>
          <t>10. Dias de Caixa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5" customHeight="1">
      <c r="A1" s="1" t="inlineStr">
        <is>
          <t>📊 DASHBOARD EXECUTIVO</t>
        </is>
      </c>
    </row>
    <row r="3">
      <c r="A3" s="5" t="inlineStr">
        <is>
          <t>FATURAMENTO MENSAL</t>
        </is>
      </c>
      <c r="D3" s="6" t="inlineStr">
        <is>
          <t>MARGEM LÍQUIDA</t>
        </is>
      </c>
    </row>
    <row r="4" ht="35" customHeight="1">
      <c r="A4" s="7" t="n">
        <v>350000</v>
      </c>
      <c r="D4" s="8" t="n">
        <v>0.28</v>
      </c>
    </row>
    <row r="6">
      <c r="A6" s="9" t="inlineStr">
        <is>
          <t>TICKET MÉDIO</t>
        </is>
      </c>
      <c r="D6" s="10" t="inlineStr">
        <is>
          <t>TAXA CONVERSÃO</t>
        </is>
      </c>
    </row>
    <row r="7" ht="35" customHeight="1">
      <c r="A7" s="11" t="n">
        <v>22000</v>
      </c>
      <c r="D7" s="12" t="n">
        <v>0.2</v>
      </c>
    </row>
    <row r="9">
      <c r="A9" s="13" t="inlineStr">
        <is>
          <t>VALOR EM ESTOQUE</t>
        </is>
      </c>
      <c r="D9" s="14" t="inlineStr">
        <is>
          <t>PROJETOS ATIVOS</t>
        </is>
      </c>
    </row>
    <row r="10" ht="35" customHeight="1">
      <c r="A10" s="15" t="n">
        <v>32000</v>
      </c>
      <c r="D10" s="16" t="n">
        <v>12</v>
      </c>
    </row>
    <row r="13">
      <c r="A13" s="2" t="inlineStr">
        <is>
          <t>📊 INDICADORES COMPLEMENTARES</t>
        </is>
      </c>
    </row>
    <row r="15">
      <c r="A15" s="17" t="inlineStr">
        <is>
          <t>Indicador</t>
        </is>
      </c>
      <c r="B15" s="17" t="inlineStr">
        <is>
          <t>Valor Atual</t>
        </is>
      </c>
      <c r="C15" s="17" t="inlineStr">
        <is>
          <t>Benchmark</t>
        </is>
      </c>
    </row>
    <row r="16">
      <c r="A16" s="18" t="inlineStr">
        <is>
          <t>Taxa Entrega no Prazo</t>
        </is>
      </c>
      <c r="B16" s="19" t="n">
        <v>0.92</v>
      </c>
      <c r="C16" s="20" t="inlineStr">
        <is>
          <t>85-95% (padrão Lukana: 92%)</t>
        </is>
      </c>
    </row>
    <row r="17">
      <c r="A17" s="18" t="inlineStr">
        <is>
          <t>Custo Fixo / Faturamento</t>
        </is>
      </c>
      <c r="B17" s="19" t="n">
        <v>0.18</v>
      </c>
      <c r="C17" s="20" t="inlineStr">
        <is>
          <t>Ideal: 15-20%</t>
        </is>
      </c>
    </row>
    <row r="18">
      <c r="A18" s="18" t="inlineStr">
        <is>
          <t>Perda Técnica</t>
        </is>
      </c>
      <c r="B18" s="19" t="n">
        <v>0.12</v>
      </c>
      <c r="C18" s="20" t="inlineStr">
        <is>
          <t>Ideal: &lt;12%</t>
        </is>
      </c>
    </row>
    <row r="19">
      <c r="A19" s="18" t="inlineStr">
        <is>
          <t>Dias de Caixa</t>
        </is>
      </c>
      <c r="B19" s="21" t="n">
        <v>45</v>
      </c>
      <c r="C19" s="20" t="inlineStr">
        <is>
          <t>Ideal: 30-60 dias</t>
        </is>
      </c>
    </row>
  </sheetData>
  <mergeCells count="13">
    <mergeCell ref="A4:B4"/>
    <mergeCell ref="D6:E6"/>
    <mergeCell ref="D7:E7"/>
    <mergeCell ref="D10:E10"/>
    <mergeCell ref="A7:B7"/>
    <mergeCell ref="A1:F1"/>
    <mergeCell ref="A10:B10"/>
    <mergeCell ref="D4:E4"/>
    <mergeCell ref="A9:B9"/>
    <mergeCell ref="D9:E9"/>
    <mergeCell ref="D3:E3"/>
    <mergeCell ref="A3:B3"/>
    <mergeCell ref="A6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</cols>
  <sheetData>
    <row r="1">
      <c r="A1" s="22" t="inlineStr">
        <is>
          <t>📈 EVOLUÇÃO MENSAL (ÚLTIMOS 6 MESES)</t>
        </is>
      </c>
    </row>
    <row r="3">
      <c r="A3" s="23" t="inlineStr">
        <is>
          <t>Mês</t>
        </is>
      </c>
      <c r="B3" s="23" t="inlineStr">
        <is>
          <t>Faturamento</t>
        </is>
      </c>
      <c r="C3" s="23" t="inlineStr">
        <is>
          <t>Margem Líquida</t>
        </is>
      </c>
      <c r="D3" s="23" t="inlineStr">
        <is>
          <t>Vendas Fechadas</t>
        </is>
      </c>
      <c r="E3" s="23" t="inlineStr">
        <is>
          <t>Ticket Médio</t>
        </is>
      </c>
      <c r="F3" s="23" t="inlineStr">
        <is>
          <t>Taxa Conversão</t>
        </is>
      </c>
      <c r="G3" s="23" t="inlineStr">
        <is>
          <t>Custo Fixo</t>
        </is>
      </c>
      <c r="H3" s="23" t="inlineStr">
        <is>
          <t>Tendência</t>
        </is>
      </c>
    </row>
    <row r="4">
      <c r="A4" s="18" t="inlineStr">
        <is>
          <t>Nov/24</t>
        </is>
      </c>
      <c r="B4" s="24" t="n">
        <v>280000</v>
      </c>
      <c r="C4" s="25" t="n">
        <v>0.24</v>
      </c>
      <c r="D4" s="26" t="n">
        <v>14</v>
      </c>
      <c r="E4" s="24" t="n">
        <v>20000</v>
      </c>
      <c r="F4" s="25" t="n">
        <v>0.18</v>
      </c>
      <c r="G4" s="24" t="n">
        <v>50000</v>
      </c>
      <c r="H4" s="27" t="inlineStr">
        <is>
          <t>→</t>
        </is>
      </c>
    </row>
    <row r="5">
      <c r="A5" s="18" t="inlineStr">
        <is>
          <t>Dez/24</t>
        </is>
      </c>
      <c r="B5" s="24" t="n">
        <v>320000</v>
      </c>
      <c r="C5" s="25" t="n">
        <v>0.26</v>
      </c>
      <c r="D5" s="26" t="n">
        <v>15</v>
      </c>
      <c r="E5" s="24" t="n">
        <v>21333</v>
      </c>
      <c r="F5" s="25" t="n">
        <v>0.19</v>
      </c>
      <c r="G5" s="24" t="n">
        <v>52000</v>
      </c>
      <c r="H5" s="27" t="inlineStr">
        <is>
          <t>↗</t>
        </is>
      </c>
    </row>
    <row r="6">
      <c r="A6" s="18" t="inlineStr">
        <is>
          <t>Jan/25</t>
        </is>
      </c>
      <c r="B6" s="24" t="n">
        <v>310000</v>
      </c>
      <c r="C6" s="25" t="n">
        <v>0.25</v>
      </c>
      <c r="D6" s="26" t="n">
        <v>14</v>
      </c>
      <c r="E6" s="24" t="n">
        <v>22143</v>
      </c>
      <c r="F6" s="25" t="n">
        <v>0.17</v>
      </c>
      <c r="G6" s="24" t="n">
        <v>51000</v>
      </c>
      <c r="H6" s="27" t="inlineStr">
        <is>
          <t>↘</t>
        </is>
      </c>
    </row>
    <row r="7">
      <c r="A7" s="18" t="inlineStr">
        <is>
          <t>Fev/25</t>
        </is>
      </c>
      <c r="B7" s="24" t="n">
        <v>330000</v>
      </c>
      <c r="C7" s="25" t="n">
        <v>0.27</v>
      </c>
      <c r="D7" s="26" t="n">
        <v>16</v>
      </c>
      <c r="E7" s="24" t="n">
        <v>20625</v>
      </c>
      <c r="F7" s="25" t="n">
        <v>0.2</v>
      </c>
      <c r="G7" s="24" t="n">
        <v>53000</v>
      </c>
      <c r="H7" s="27" t="inlineStr">
        <is>
          <t>↗</t>
        </is>
      </c>
    </row>
    <row r="8">
      <c r="A8" s="18" t="inlineStr">
        <is>
          <t>Mar/25</t>
        </is>
      </c>
      <c r="B8" s="24" t="n">
        <v>340000</v>
      </c>
      <c r="C8" s="25" t="n">
        <v>0.28</v>
      </c>
      <c r="D8" s="26" t="n">
        <v>16</v>
      </c>
      <c r="E8" s="24" t="n">
        <v>21250</v>
      </c>
      <c r="F8" s="25" t="n">
        <v>0.21</v>
      </c>
      <c r="G8" s="24" t="n">
        <v>54000</v>
      </c>
      <c r="H8" s="27" t="inlineStr">
        <is>
          <t>↗</t>
        </is>
      </c>
    </row>
    <row r="9">
      <c r="A9" s="18" t="inlineStr">
        <is>
          <t>Abr/25</t>
        </is>
      </c>
      <c r="B9" s="24" t="n">
        <v>350000</v>
      </c>
      <c r="C9" s="25" t="n">
        <v>0.28</v>
      </c>
      <c r="D9" s="26" t="n">
        <v>16</v>
      </c>
      <c r="E9" s="24" t="n">
        <v>21875</v>
      </c>
      <c r="F9" s="25" t="n">
        <v>0.2</v>
      </c>
      <c r="G9" s="24" t="n">
        <v>55000</v>
      </c>
      <c r="H9" s="27" t="inlineStr">
        <is>
          <t>↗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4" customWidth="1" min="5" max="5"/>
  </cols>
  <sheetData>
    <row r="1">
      <c r="A1" s="22" t="inlineStr">
        <is>
          <t>🎯 METAS VS REALIZADO (MÊS ATUAL)</t>
        </is>
      </c>
    </row>
    <row r="3">
      <c r="A3" s="28" t="inlineStr">
        <is>
          <t>Mês: Abril/2025</t>
        </is>
      </c>
    </row>
    <row r="5">
      <c r="A5" s="17" t="inlineStr">
        <is>
          <t>Indicador</t>
        </is>
      </c>
      <c r="B5" s="17" t="inlineStr">
        <is>
          <t>Meta</t>
        </is>
      </c>
      <c r="C5" s="17" t="inlineStr">
        <is>
          <t>Realizado</t>
        </is>
      </c>
      <c r="D5" s="17" t="inlineStr">
        <is>
          <t>% Atingido</t>
        </is>
      </c>
      <c r="E5" s="17" t="inlineStr">
        <is>
          <t>Status</t>
        </is>
      </c>
    </row>
    <row r="6">
      <c r="A6" s="18" t="inlineStr">
        <is>
          <t>Faturamento</t>
        </is>
      </c>
      <c r="B6" s="29" t="n">
        <v>360000</v>
      </c>
      <c r="C6" s="30" t="n">
        <v>350000</v>
      </c>
      <c r="D6" s="25">
        <f>C6/B6</f>
        <v/>
      </c>
      <c r="E6" s="18">
        <f>IF(D6&gt;=1,"✅ BATEU",IF(D6&gt;=0.9,"⚠️ 90%+","🔴 &lt;90%"))</f>
        <v/>
      </c>
    </row>
    <row r="7">
      <c r="A7" s="18" t="inlineStr">
        <is>
          <t>Margem Líquida</t>
        </is>
      </c>
      <c r="B7" s="25" t="n">
        <v>0.3</v>
      </c>
      <c r="C7" s="31" t="n">
        <v>0.28</v>
      </c>
      <c r="D7" s="25">
        <f>C7/B7</f>
        <v/>
      </c>
      <c r="E7" s="18">
        <f>IF(D7&gt;=1,"✅ BATEU",IF(D7&gt;=0.9,"⚠️ 90%+","🔴 &lt;90%"))</f>
        <v/>
      </c>
    </row>
    <row r="8">
      <c r="A8" s="18" t="inlineStr">
        <is>
          <t>Vendas Fechadas</t>
        </is>
      </c>
      <c r="B8" s="29" t="n">
        <v>18</v>
      </c>
      <c r="C8" s="30" t="n">
        <v>16</v>
      </c>
      <c r="D8" s="25">
        <f>C8/B8</f>
        <v/>
      </c>
      <c r="E8" s="18">
        <f>IF(D8&gt;=1,"✅ BATEU",IF(D8&gt;=0.9,"⚠️ 90%+","🔴 &lt;90%"))</f>
        <v/>
      </c>
    </row>
    <row r="9">
      <c r="A9" s="18" t="inlineStr">
        <is>
          <t>Taxa de Conversão</t>
        </is>
      </c>
      <c r="B9" s="25" t="n">
        <v>0.22</v>
      </c>
      <c r="C9" s="31" t="n">
        <v>0.2</v>
      </c>
      <c r="D9" s="25">
        <f>C9/B9</f>
        <v/>
      </c>
      <c r="E9" s="18">
        <f>IF(D9&gt;=1,"✅ BATEU",IF(D9&gt;=0.9,"⚠️ 90%+","🔴 &lt;90%"))</f>
        <v/>
      </c>
    </row>
    <row r="10">
      <c r="A10" s="18" t="inlineStr">
        <is>
          <t>Entrega no Prazo</t>
        </is>
      </c>
      <c r="B10" s="25" t="n">
        <v>0.9</v>
      </c>
      <c r="C10" s="31" t="n">
        <v>0.92</v>
      </c>
      <c r="D10" s="25">
        <f>C10/B10</f>
        <v/>
      </c>
      <c r="E10" s="18">
        <f>IF(D10&gt;=1,"✅ BATEU",IF(D10&gt;=0.9,"⚠️ 90%+","🔴 &lt;90%"))</f>
        <v/>
      </c>
    </row>
    <row r="11">
      <c r="A11" s="18" t="inlineStr">
        <is>
          <t>Ticket Médio</t>
        </is>
      </c>
      <c r="B11" s="29" t="n">
        <v>22000</v>
      </c>
      <c r="C11" s="30" t="n">
        <v>21875</v>
      </c>
      <c r="D11" s="25">
        <f>C11/B11</f>
        <v/>
      </c>
      <c r="E11" s="18">
        <f>IF(D11&gt;=1,"✅ BATEU",IF(D11&gt;=0.9,"⚠️ 90%+","🔴 &lt;90%"))</f>
        <v/>
      </c>
    </row>
    <row r="14">
      <c r="A14" s="32" t="inlineStr">
        <is>
          <t>RESUMO:</t>
        </is>
      </c>
    </row>
    <row r="16">
      <c r="A16" t="inlineStr">
        <is>
          <t>Metas Batidas:</t>
        </is>
      </c>
      <c r="B16" s="21">
        <f>COUNTIF(E6:E11,"✅ BATEU")</f>
        <v/>
      </c>
    </row>
    <row r="17">
      <c r="A17" t="inlineStr">
        <is>
          <t>Metas Parciais (90%+):</t>
        </is>
      </c>
      <c r="B17" s="21">
        <f>COUNTIF(E6:E11,"⚠️ 90%+")</f>
        <v/>
      </c>
    </row>
    <row r="18">
      <c r="A18" t="inlineStr">
        <is>
          <t>Metas Não Batidas:</t>
        </is>
      </c>
      <c r="B18" s="21">
        <f>COUNTIF(E6:E11,"🔴 &lt;90%")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2" t="inlineStr">
        <is>
          <t>💡 ANÁLISE RÁPIDA (IA LUKANA)</t>
        </is>
      </c>
    </row>
    <row r="3">
      <c r="A3" s="33" t="inlineStr">
        <is>
          <t>Com base nos indicadores, aqui está o que você precisa fazer:</t>
        </is>
      </c>
    </row>
    <row r="6">
      <c r="A6" s="34" t="inlineStr">
        <is>
          <t>📊 FINANCEIRO:</t>
        </is>
      </c>
    </row>
    <row r="7">
      <c r="A7">
        <f>IF('2. Dashboard'!D4&gt;=0.25,"✅ Margem líquida saudável (28%)","🔴 Margem apertada - revisar custos")</f>
        <v/>
      </c>
    </row>
    <row r="9">
      <c r="A9" s="34" t="inlineStr">
        <is>
          <t>🎯 COMERCIAL:</t>
        </is>
      </c>
    </row>
    <row r="10">
      <c r="A10">
        <f>IF('2. Dashboard'!D7&gt;=0.20,"✅ Taxa de conversão boa (20%)","⚠️ Menos de 20% - melhorar qualificação")</f>
        <v/>
      </c>
    </row>
    <row r="12">
      <c r="A12" s="34" t="inlineStr">
        <is>
          <t>📦 ESTOQUE:</t>
        </is>
      </c>
    </row>
    <row r="13">
      <c r="A13">
        <f>IF('2. Dashboard'!A10&lt;=40000,"✅ Estoque controlado","⚠️ Estoque alto - reduzir compras")</f>
        <v/>
      </c>
    </row>
    <row r="15">
      <c r="A15" s="34" t="inlineStr">
        <is>
          <t>⏱️ PRODUÇÃO:</t>
        </is>
      </c>
    </row>
    <row r="16">
      <c r="A16">
        <f>IF('2. Dashboard'!B16&gt;=0.90,"✅ Entrega no prazo excelente (92%)","🔴 Melhorar planejamento")</f>
        <v/>
      </c>
    </row>
    <row r="19">
      <c r="A19" s="35" t="inlineStr">
        <is>
          <t>🎯 AÇÃO IMEDIATA:</t>
        </is>
      </c>
    </row>
    <row r="21">
      <c r="A21" s="18" t="inlineStr">
        <is>
          <t>1. Manter margem líquida acima de 25%</t>
        </is>
      </c>
    </row>
    <row r="22">
      <c r="A22" s="18" t="inlineStr">
        <is>
          <t>2. Focar em aumentar taxa de conversão para 22%</t>
        </is>
      </c>
    </row>
    <row r="23">
      <c r="A23" s="18" t="inlineStr">
        <is>
          <t>3. Manter padrão de entrega no prazo (90%+)</t>
        </is>
      </c>
    </row>
  </sheetData>
  <mergeCells count="9">
    <mergeCell ref="A10:C10"/>
    <mergeCell ref="A13:C13"/>
    <mergeCell ref="A1:C1"/>
    <mergeCell ref="A23:C23"/>
    <mergeCell ref="A22:C22"/>
    <mergeCell ref="A3:C3"/>
    <mergeCell ref="A21:C21"/>
    <mergeCell ref="A7:C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2026-04-22T02:33:05Z</dcterms:created>
  <dcterms:modified xmlns:dcterms="http://purl.org/dc/terms/" xmlns:xsi="http://www.w3.org/2001/XMLSchema-instance" xsi:type="dcterms:W3CDTF">2026-04-22T02:33:56Z</dcterms:modified>
</cp:coreProperties>
</file>