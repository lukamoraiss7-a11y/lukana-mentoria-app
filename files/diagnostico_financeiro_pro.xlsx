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Dados da Empresa" sheetId="2" state="visible" r:id="rId2"/>
    <sheet xmlns:r="http://schemas.openxmlformats.org/officeDocument/2006/relationships" name="3. Faturamento 3 Meses" sheetId="3" state="visible" r:id="rId3"/>
    <sheet xmlns:r="http://schemas.openxmlformats.org/officeDocument/2006/relationships" name="4. Custos Variáveis" sheetId="4" state="visible" r:id="rId4"/>
    <sheet xmlns:r="http://schemas.openxmlformats.org/officeDocument/2006/relationships" name="5. Custos Fixos" sheetId="5" state="visible" r:id="rId5"/>
    <sheet xmlns:r="http://schemas.openxmlformats.org/officeDocument/2006/relationships" name="6. Análise de Margem" sheetId="6" state="visible" r:id="rId6"/>
    <sheet xmlns:r="http://schemas.openxmlformats.org/officeDocument/2006/relationships" name="7. Identificação de Sangrias" sheetId="7" state="visible" r:id="rId7"/>
    <sheet xmlns:r="http://schemas.openxmlformats.org/officeDocument/2006/relationships" name="8. Fluxo de Caixa" sheetId="8" state="visible" r:id="rId8"/>
    <sheet xmlns:r="http://schemas.openxmlformats.org/officeDocument/2006/relationships" name="9. DRE Gerencial" sheetId="9" state="visible" r:id="rId9"/>
    <sheet xmlns:r="http://schemas.openxmlformats.org/officeDocument/2006/relationships" name="10. Projeções" sheetId="10" state="visible" r:id="rId10"/>
    <sheet xmlns:r="http://schemas.openxmlformats.org/officeDocument/2006/relationships" name="11. Dashboard Visual" sheetId="11" state="visible" r:id="rId11"/>
    <sheet xmlns:r="http://schemas.openxmlformats.org/officeDocument/2006/relationships" name="12. Glossár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"/>
    <numFmt numFmtId="166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  <font>
      <b val="1"/>
      <color rgb="00FFFFFF"/>
      <sz val="11"/>
    </font>
    <font>
      <b val="1"/>
      <i val="1"/>
    </font>
    <font>
      <i val="1"/>
    </font>
    <font>
      <b val="1"/>
      <color rgb="00C00000"/>
      <sz val="12"/>
    </font>
    <font>
      <b val="1"/>
      <color rgb="001F4E78"/>
    </font>
    <font>
      <b val="1"/>
      <color rgb="00FFFFFF"/>
      <sz val="9"/>
    </font>
    <font>
      <sz val="11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4B084"/>
        <bgColor rgb="00F4B084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7" fillId="4" borderId="0" applyAlignment="1" pivotButton="0" quotePrefix="0" xfId="0">
      <alignment horizontal="center" vertical="center"/>
    </xf>
    <xf numFmtId="164" fontId="0" fillId="3" borderId="0" pivotButton="0" quotePrefix="0" xfId="0"/>
    <xf numFmtId="10" fontId="0" fillId="3" borderId="0" pivotButton="0" quotePrefix="0" xfId="0"/>
    <xf numFmtId="164" fontId="0" fillId="5" borderId="0" pivotButton="0" quotePrefix="0" xfId="0"/>
    <xf numFmtId="0" fontId="8" fillId="0" borderId="0" pivotButton="0" quotePrefix="0" xfId="0"/>
    <xf numFmtId="164" fontId="6" fillId="6" borderId="0" pivotButton="0" quotePrefix="0" xfId="0"/>
    <xf numFmtId="0" fontId="7" fillId="4" borderId="0" applyAlignment="1" pivotButton="0" quotePrefix="0" xfId="0">
      <alignment horizontal="center"/>
    </xf>
    <xf numFmtId="164" fontId="0" fillId="7" borderId="0" pivotButton="0" quotePrefix="0" xfId="0"/>
    <xf numFmtId="0" fontId="9" fillId="8" borderId="0" pivotButton="0" quotePrefix="0" xfId="0"/>
    <xf numFmtId="164" fontId="6" fillId="9" borderId="0" pivotButton="0" quotePrefix="0" xfId="0"/>
    <xf numFmtId="0" fontId="10" fillId="0" borderId="0" pivotButton="0" quotePrefix="0" xfId="0"/>
    <xf numFmtId="10" fontId="0" fillId="10" borderId="0" pivotButton="0" quotePrefix="0" xfId="0"/>
    <xf numFmtId="10" fontId="6" fillId="0" borderId="0" pivotButton="0" quotePrefix="0" xfId="0"/>
    <xf numFmtId="0" fontId="5" fillId="11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6" fillId="12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13" borderId="0" pivotButton="0" quotePrefix="0" xfId="0"/>
    <xf numFmtId="0" fontId="13" fillId="0" borderId="0" pivotButton="0" quotePrefix="0" xfId="0"/>
    <xf numFmtId="164" fontId="7" fillId="8" borderId="0" pivotButton="0" quotePrefix="0" xfId="0"/>
    <xf numFmtId="10" fontId="7" fillId="8" borderId="0" pivotButton="0" quotePrefix="0" xfId="0"/>
    <xf numFmtId="0" fontId="7" fillId="4" borderId="0" pivotButton="0" quotePrefix="0" xfId="0"/>
    <xf numFmtId="164" fontId="6" fillId="0" borderId="0" pivotButton="0" quotePrefix="0" xfId="0"/>
    <xf numFmtId="0" fontId="1" fillId="2" borderId="0" pivotButton="0" quotePrefix="0" xfId="0"/>
    <xf numFmtId="0" fontId="14" fillId="4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'11. Dashboard Visual'!B8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'11. Dashboard Visual'!$A$9:$A$11</f>
            </numRef>
          </cat>
          <val>
            <numRef>
              <f>'11. Dashboard Visual'!$B$9:$B$11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30" customHeight="1">
      <c r="A1" s="1" t="inlineStr">
        <is>
          <t>DIAGNÓSTICO FINANCEIRO PRO — LUKANA MARCENARIA</t>
        </is>
      </c>
    </row>
    <row r="4">
      <c r="A4" s="2" t="inlineStr">
        <is>
          <t>BEM-VINDO AO DIAGNÓSTICO FINANCEIRO PRO</t>
        </is>
      </c>
    </row>
    <row r="6">
      <c r="A6" s="2" t="inlineStr">
        <is>
          <t>Esta planilha foi desenvolvida para você ter CLAREZA TOTAL sobre a saúde financeira da sua marcenaria.</t>
        </is>
      </c>
    </row>
    <row r="8">
      <c r="A8" s="2" t="inlineStr">
        <is>
          <t>📋 COMO USAR ESTA PLANILHA:</t>
        </is>
      </c>
    </row>
    <row r="10">
      <c r="A10" s="3" t="inlineStr">
        <is>
          <t>1️⃣ PREENCHA OS DADOS DA EMPRESA</t>
        </is>
      </c>
      <c r="B10" s="4" t="inlineStr">
        <is>
          <t>Vá para a aba '2. Dados da Empresa' e preencha nome, CNPJ e período de análise</t>
        </is>
      </c>
    </row>
    <row r="12">
      <c r="A12" s="3" t="inlineStr">
        <is>
          <t>2️⃣ REGISTRE SEU FATURAMENTO</t>
        </is>
      </c>
      <c r="B12" s="4" t="inlineStr">
        <is>
          <t>Aba '3. Faturamento 3 Meses' - digite o faturamento de cada mês</t>
        </is>
      </c>
    </row>
    <row r="14">
      <c r="A14" s="3" t="inlineStr">
        <is>
          <t>3️⃣ REGISTRE CUSTOS VARIÁVEIS</t>
        </is>
      </c>
      <c r="B14" s="4" t="inlineStr">
        <is>
          <t>Aba '4. Custos Variáveis' - material, mão de obra direta, terceirizações</t>
        </is>
      </c>
    </row>
    <row r="16">
      <c r="A16" s="3" t="inlineStr">
        <is>
          <t>4️⃣ REGISTRE CUSTOS FIXOS</t>
        </is>
      </c>
      <c r="B16" s="4" t="inlineStr">
        <is>
          <t>Aba '5. Custos Fixos' - aluguel, folha administrativa, luz, água, contador</t>
        </is>
      </c>
    </row>
    <row r="18">
      <c r="A18" s="3" t="inlineStr">
        <is>
          <t>5️⃣ ANALISE OS RESULTADOS</t>
        </is>
      </c>
      <c r="B18" s="4" t="inlineStr">
        <is>
          <t>As abas de análise calculam tudo automaticamente:</t>
        </is>
      </c>
    </row>
    <row r="19">
      <c r="A19" s="3" t="inlineStr">
        <is>
          <t xml:space="preserve">   • Margem de Contribuição</t>
        </is>
      </c>
      <c r="B19" s="4" t="inlineStr">
        <is>
          <t>Quanto sobra depois de pagar material e MO</t>
        </is>
      </c>
    </row>
    <row r="20">
      <c r="A20" s="3" t="inlineStr">
        <is>
          <t xml:space="preserve">   • Margem Líquida</t>
        </is>
      </c>
      <c r="B20" s="4" t="inlineStr">
        <is>
          <t>Quanto sobra MESMO (depois de tudo)</t>
        </is>
      </c>
    </row>
    <row r="21">
      <c r="A21" s="3" t="inlineStr">
        <is>
          <t xml:space="preserve">   • Identificação de Sangrias</t>
        </is>
      </c>
      <c r="B21" s="4" t="inlineStr">
        <is>
          <t>Onde você está perdendo dinheiro</t>
        </is>
      </c>
    </row>
    <row r="23">
      <c r="A23" s="3" t="inlineStr">
        <is>
          <t>6️⃣ CONSULTE O DASHBOARD</t>
        </is>
      </c>
      <c r="B23" s="4" t="inlineStr">
        <is>
          <t>Aba '11. Dashboard Visual' mostra tudo em gráficos</t>
        </is>
      </c>
    </row>
    <row r="25">
      <c r="A25" s="2" t="inlineStr">
        <is>
          <t>⚠️ CAMPOS AMARELOS = VOCÊ PREENCHE</t>
        </is>
      </c>
    </row>
    <row r="26">
      <c r="A26" s="2" t="inlineStr">
        <is>
          <t>⚠️ CAMPOS BRANCOS/CINZA = CÁLCULO AUTOMÁTICO (NÃO MEXE)</t>
        </is>
      </c>
    </row>
    <row r="28">
      <c r="A28" s="3" t="inlineStr">
        <is>
          <t>❓ TEM DÚVIDAS SOBRE OS TERMOS?</t>
        </is>
      </c>
      <c r="B28" s="4" t="inlineStr">
        <is>
          <t>Consulte a aba '12. Glossário'</t>
        </is>
      </c>
    </row>
    <row r="30">
      <c r="A30" s="3" t="inlineStr">
        <is>
          <t>💡 DICA IMPORTANTE:</t>
        </is>
      </c>
      <c r="B30" s="4" t="inlineStr">
        <is>
          <t>Preencha com dados REAIS dos últimos 3 meses. Quanto mais preciso, melhor o diagnóstico.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5" customHeight="1">
      <c r="A1" s="5" t="inlineStr">
        <is>
          <t>DADOS DA EMPRESA</t>
        </is>
      </c>
    </row>
    <row r="3">
      <c r="A3" s="6" t="inlineStr">
        <is>
          <t>Nome da Marcenaria:</t>
        </is>
      </c>
      <c r="B3" s="7" t="inlineStr"/>
    </row>
    <row r="4">
      <c r="A4" s="6" t="inlineStr">
        <is>
          <t>CNPJ:</t>
        </is>
      </c>
      <c r="B4" s="7" t="inlineStr"/>
    </row>
    <row r="5">
      <c r="A5" s="6" t="inlineStr">
        <is>
          <t>Cidade/Estado:</t>
        </is>
      </c>
      <c r="B5" s="7" t="inlineStr"/>
    </row>
    <row r="6">
      <c r="A6" s="6" t="inlineStr">
        <is>
          <t>Período de Análise:</t>
        </is>
      </c>
      <c r="B6" s="7" t="inlineStr">
        <is>
          <t>Últimos 3 meses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25" customWidth="1" min="4" max="4"/>
  </cols>
  <sheetData>
    <row r="1">
      <c r="A1" s="5" t="inlineStr">
        <is>
          <t>FATURAMENTO DOS ÚLTIMOS 3 MESES</t>
        </is>
      </c>
    </row>
    <row r="3">
      <c r="A3" s="8" t="inlineStr">
        <is>
          <t>Mês</t>
        </is>
      </c>
      <c r="B3" s="8" t="inlineStr">
        <is>
          <t>Faturamento Bruto (R$)</t>
        </is>
      </c>
      <c r="C3" s="8" t="inlineStr">
        <is>
          <t>Impostos s/ Venda (%)</t>
        </is>
      </c>
      <c r="D3" s="8" t="inlineStr">
        <is>
          <t>Impostos s/ Venda (R$)</t>
        </is>
      </c>
    </row>
    <row r="4">
      <c r="A4" s="6" t="inlineStr">
        <is>
          <t>Mês 1</t>
        </is>
      </c>
      <c r="B4" s="9" t="n"/>
      <c r="C4" s="10" t="n">
        <v>0.1</v>
      </c>
      <c r="D4" s="11">
        <f>B4*C4</f>
        <v/>
      </c>
    </row>
    <row r="5">
      <c r="A5" s="6" t="inlineStr">
        <is>
          <t>Mês 2</t>
        </is>
      </c>
      <c r="B5" s="9" t="n"/>
      <c r="C5" s="10" t="n">
        <v>0.1</v>
      </c>
      <c r="D5" s="11">
        <f>B5*C5</f>
        <v/>
      </c>
    </row>
    <row r="6">
      <c r="A6" s="6" t="inlineStr">
        <is>
          <t>Mês 3</t>
        </is>
      </c>
      <c r="B6" s="9" t="n"/>
      <c r="C6" s="10" t="n">
        <v>0.1</v>
      </c>
      <c r="D6" s="11">
        <f>B6*C6</f>
        <v/>
      </c>
    </row>
    <row r="7">
      <c r="A7" s="12" t="inlineStr">
        <is>
          <t>TOTAL</t>
        </is>
      </c>
      <c r="B7" s="13">
        <f>SUM(B4:B6)</f>
        <v/>
      </c>
      <c r="D7" s="13">
        <f>SUM(D4:D6)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CUSTOS VARIÁVEIS (CMV)</t>
        </is>
      </c>
    </row>
    <row r="3">
      <c r="A3" s="14" t="inlineStr">
        <is>
          <t>Item</t>
        </is>
      </c>
      <c r="B3" s="14" t="inlineStr">
        <is>
          <t>Mês 1</t>
        </is>
      </c>
      <c r="C3" s="14" t="inlineStr">
        <is>
          <t>Mês 2</t>
        </is>
      </c>
      <c r="D3" s="14" t="inlineStr">
        <is>
          <t>Mês 3</t>
        </is>
      </c>
    </row>
    <row r="4">
      <c r="A4" s="4" t="inlineStr">
        <is>
          <t>Material Direto (MDF, MDP, ferragens)</t>
        </is>
      </c>
      <c r="B4" s="9" t="n"/>
      <c r="C4" s="9" t="n"/>
      <c r="D4" s="9" t="n"/>
    </row>
    <row r="5">
      <c r="A5" s="4" t="inlineStr">
        <is>
          <t>Mão de Obra Direta (marceneiros)</t>
        </is>
      </c>
      <c r="B5" s="9" t="n"/>
      <c r="C5" s="9" t="n"/>
      <c r="D5" s="9" t="n"/>
    </row>
    <row r="6">
      <c r="A6" s="4" t="inlineStr">
        <is>
          <t>Terceirizações (pintura, vidro)</t>
        </is>
      </c>
      <c r="B6" s="9" t="n"/>
      <c r="C6" s="9" t="n"/>
      <c r="D6" s="9" t="n"/>
    </row>
    <row r="7">
      <c r="A7" s="4" t="inlineStr">
        <is>
          <t>Frete de Material</t>
        </is>
      </c>
      <c r="B7" s="9" t="n"/>
      <c r="C7" s="9" t="n"/>
      <c r="D7" s="9" t="n"/>
    </row>
    <row r="8">
      <c r="A8" s="4" t="inlineStr">
        <is>
          <t>Perda Técnica (10-15% do material)</t>
        </is>
      </c>
      <c r="B8" s="9" t="n"/>
      <c r="C8" s="9" t="n"/>
      <c r="D8" s="9" t="n"/>
    </row>
    <row r="9">
      <c r="A9" s="12" t="inlineStr">
        <is>
          <t>TOTAL CUSTOS VARIÁVEIS</t>
        </is>
      </c>
      <c r="B9" s="13">
        <f>SUM(B4:B8)</f>
        <v/>
      </c>
      <c r="C9" s="13">
        <f>SUM(C4:C8)</f>
        <v/>
      </c>
      <c r="D9" s="13">
        <f>SUM(D4:D8)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CUSTOS FIXOS (DESPESAS OPERACIONAIS)</t>
        </is>
      </c>
    </row>
    <row r="3">
      <c r="A3" s="14" t="inlineStr">
        <is>
          <t>Item</t>
        </is>
      </c>
      <c r="B3" s="14" t="inlineStr">
        <is>
          <t>Mês 1</t>
        </is>
      </c>
      <c r="C3" s="14" t="inlineStr">
        <is>
          <t>Mês 2</t>
        </is>
      </c>
      <c r="D3" s="14" t="inlineStr">
        <is>
          <t>Mês 3</t>
        </is>
      </c>
    </row>
    <row r="4">
      <c r="A4" s="4" t="inlineStr">
        <is>
          <t>Aluguel / IPTU</t>
        </is>
      </c>
      <c r="B4" s="9" t="n"/>
      <c r="C4" s="9" t="n"/>
      <c r="D4" s="9" t="n"/>
    </row>
    <row r="5">
      <c r="A5" s="4" t="inlineStr">
        <is>
          <t>Folha Administrativa (vendedor, assistente)</t>
        </is>
      </c>
      <c r="B5" s="9" t="n"/>
      <c r="C5" s="9" t="n"/>
      <c r="D5" s="9" t="n"/>
    </row>
    <row r="6">
      <c r="A6" s="4" t="inlineStr">
        <is>
          <t>Luz, Água, Internet, Telefone</t>
        </is>
      </c>
      <c r="B6" s="9" t="n"/>
      <c r="C6" s="9" t="n"/>
      <c r="D6" s="9" t="n"/>
    </row>
    <row r="7">
      <c r="A7" s="4" t="inlineStr">
        <is>
          <t>Contador</t>
        </is>
      </c>
      <c r="B7" s="9" t="n"/>
      <c r="C7" s="9" t="n"/>
      <c r="D7" s="9" t="n"/>
    </row>
    <row r="8">
      <c r="A8" s="4" t="inlineStr">
        <is>
          <t>Marketing / Anúncios</t>
        </is>
      </c>
      <c r="B8" s="9" t="n"/>
      <c r="C8" s="9" t="n"/>
      <c r="D8" s="9" t="n"/>
    </row>
    <row r="9">
      <c r="A9" s="4" t="inlineStr">
        <is>
          <t>Manutenção Preventiva</t>
        </is>
      </c>
      <c r="B9" s="9" t="n"/>
      <c r="C9" s="9" t="n"/>
      <c r="D9" s="9" t="n"/>
    </row>
    <row r="10">
      <c r="A10" s="4" t="inlineStr">
        <is>
          <t>Limpeza / Segurança</t>
        </is>
      </c>
      <c r="B10" s="9" t="n"/>
      <c r="C10" s="9" t="n"/>
      <c r="D10" s="9" t="n"/>
    </row>
    <row r="11">
      <c r="A11" s="4" t="inlineStr">
        <is>
          <t>Seguros</t>
        </is>
      </c>
      <c r="B11" s="9" t="n"/>
      <c r="C11" s="9" t="n"/>
      <c r="D11" s="9" t="n"/>
    </row>
    <row r="12">
      <c r="A12" s="4" t="inlineStr">
        <is>
          <t>Pró-labore do Dono</t>
        </is>
      </c>
      <c r="B12" s="9" t="n"/>
      <c r="C12" s="9" t="n"/>
      <c r="D12" s="9" t="n"/>
    </row>
    <row r="13">
      <c r="A13" s="12" t="inlineStr">
        <is>
          <t>TOTAL CUSTOS FIXOS</t>
        </is>
      </c>
      <c r="B13" s="13">
        <f>SUM(B4:B12)</f>
        <v/>
      </c>
      <c r="C13" s="13">
        <f>SUM(C4:C12)</f>
        <v/>
      </c>
      <c r="D13" s="13">
        <f>SUM(D4:D12)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ANÁLISE DE MARGEM</t>
        </is>
      </c>
    </row>
    <row r="3">
      <c r="A3" s="14" t="inlineStr">
        <is>
          <t>Indicador</t>
        </is>
      </c>
      <c r="B3" s="14" t="inlineStr">
        <is>
          <t>Mês 1</t>
        </is>
      </c>
      <c r="C3" s="14" t="inlineStr">
        <is>
          <t>Mês 2</t>
        </is>
      </c>
      <c r="D3" s="14" t="inlineStr">
        <is>
          <t>Mês 3</t>
        </is>
      </c>
    </row>
    <row r="4">
      <c r="A4" s="4" t="inlineStr">
        <is>
          <t>Faturamento Bruto</t>
        </is>
      </c>
      <c r="B4" s="15">
        <f>'3. Faturamento 3 Meses'!B4</f>
        <v/>
      </c>
      <c r="C4" s="15">
        <f>'3. Faturamento 3 Meses'!C4</f>
        <v/>
      </c>
      <c r="D4" s="15">
        <f>'3. Faturamento 3 Meses'!D4</f>
        <v/>
      </c>
    </row>
    <row r="5">
      <c r="A5" s="4" t="inlineStr">
        <is>
          <t>(-) Impostos</t>
        </is>
      </c>
      <c r="B5" s="15">
        <f>'3. Faturamento 3 Meses'!D4</f>
        <v/>
      </c>
      <c r="C5" s="15">
        <f>'3. Faturamento 3 Meses'!D5</f>
        <v/>
      </c>
      <c r="D5" s="15">
        <f>'3. Faturamento 3 Meses'!D6</f>
        <v/>
      </c>
    </row>
    <row r="6">
      <c r="A6" s="16">
        <f> Receita Líquida</f>
        <v/>
      </c>
      <c r="B6" s="17">
        <f>B4-B5</f>
        <v/>
      </c>
      <c r="C6" s="17">
        <f>C4-C5</f>
        <v/>
      </c>
      <c r="D6" s="17">
        <f>D4-D5</f>
        <v/>
      </c>
    </row>
    <row r="7">
      <c r="A7" s="4" t="inlineStr">
        <is>
          <t>(-) Custos Variáveis</t>
        </is>
      </c>
      <c r="B7" s="15">
        <f>'4. Custos Variáveis'!B9</f>
        <v/>
      </c>
      <c r="C7" s="15">
        <f>'4. Custos Variáveis'!C9</f>
        <v/>
      </c>
      <c r="D7" s="15">
        <f>'4. Custos Variáveis'!D9</f>
        <v/>
      </c>
    </row>
    <row r="8">
      <c r="A8" s="16">
        <f> MARGEM DE CONTRIBUIÇÃO</f>
        <v/>
      </c>
      <c r="B8" s="17">
        <f>B6-B7</f>
        <v/>
      </c>
      <c r="C8" s="17">
        <f>C6-C7</f>
        <v/>
      </c>
      <c r="D8" s="17">
        <f>D6-D7</f>
        <v/>
      </c>
    </row>
    <row r="9">
      <c r="A9" s="18" t="inlineStr">
        <is>
          <t>% Margem de Contribuição</t>
        </is>
      </c>
      <c r="B9" s="19">
        <f>B8/B4</f>
        <v/>
      </c>
      <c r="C9" s="19">
        <f>C8/C4</f>
        <v/>
      </c>
      <c r="D9" s="19">
        <f>D8/D4</f>
        <v/>
      </c>
    </row>
    <row r="11">
      <c r="A11" s="4" t="inlineStr">
        <is>
          <t>(-) Custos Fixos</t>
        </is>
      </c>
      <c r="B11" s="15">
        <f>'5. Custos Fixos'!B13</f>
        <v/>
      </c>
      <c r="C11" s="15">
        <f>'5. Custos Fixos'!C13</f>
        <v/>
      </c>
      <c r="D11" s="15">
        <f>'5. Custos Fixos'!D13</f>
        <v/>
      </c>
    </row>
    <row r="12">
      <c r="A12" s="16">
        <f> LUCRO LÍQUIDO</f>
        <v/>
      </c>
      <c r="B12" s="17">
        <f>B8-B11</f>
        <v/>
      </c>
      <c r="C12" s="17">
        <f>C8-C11</f>
        <v/>
      </c>
      <c r="D12" s="17">
        <f>D8-D11</f>
        <v/>
      </c>
    </row>
    <row r="13">
      <c r="A13" s="18" t="inlineStr">
        <is>
          <t>% Margem Líquida</t>
        </is>
      </c>
      <c r="B13" s="19">
        <f>B12/B4</f>
        <v/>
      </c>
      <c r="C13" s="19">
        <f>C12/C4</f>
        <v/>
      </c>
      <c r="D13" s="19">
        <f>D12/D4</f>
        <v/>
      </c>
    </row>
    <row r="16">
      <c r="A16" s="2" t="inlineStr">
        <is>
          <t>📊 ANÁLISE AUTOMÁTICA:</t>
        </is>
      </c>
    </row>
    <row r="18">
      <c r="A18" t="inlineStr">
        <is>
          <t>Margem de Contribuição Média:</t>
        </is>
      </c>
      <c r="B18" s="20">
        <f>AVERAGE(B9,C9,D9)</f>
        <v/>
      </c>
    </row>
    <row r="19">
      <c r="A19" t="inlineStr">
        <is>
          <t>Margem Líquida Média:</t>
        </is>
      </c>
      <c r="B19" s="20">
        <f>AVERAGE(B13,C13,D13)</f>
        <v/>
      </c>
    </row>
    <row r="21">
      <c r="A21" t="inlineStr">
        <is>
          <t>Status Margem de Contribuição:</t>
        </is>
      </c>
      <c r="B21" s="6">
        <f>IF(B18&gt;=0.6,"✅ EXCELENTE (60%+)",IF(B18&gt;=0.55,"⚠️ AJUSTÁVEL (55-60%)","🔴 CRÍTICO (&lt;55%)"))</f>
        <v/>
      </c>
    </row>
    <row r="22">
      <c r="A22" t="inlineStr">
        <is>
          <t>Status Margem Líquida:</t>
        </is>
      </c>
      <c r="B22" s="6">
        <f>IF(B19&gt;=0.25,"✅ EXCELENTE (25%+)",IF(B19&gt;=0.15,"⚠️ RAZOÁVEL (15-25%)","🔴 CRÍTICO (&lt;15%)"))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1" t="inlineStr">
        <is>
          <t>IDENTIFICAÇÃO DE SANGRIAS (ONDE VOCÊ PERDE DINHEIRO)</t>
        </is>
      </c>
    </row>
    <row r="3">
      <c r="A3" s="22" t="inlineStr">
        <is>
          <t>Esta aba identifica automaticamente os 3 maiores custos (variáveis e fixos) para você atacar primeiro.</t>
        </is>
      </c>
    </row>
    <row r="5">
      <c r="A5" s="23" t="inlineStr">
        <is>
          <t>🔴 TOP 3 CUSTOS VARIÁVEIS (média dos 3 meses)</t>
        </is>
      </c>
    </row>
    <row r="7">
      <c r="A7" s="24" t="inlineStr">
        <is>
          <t>Item</t>
        </is>
      </c>
      <c r="B7" s="24" t="inlineStr">
        <is>
          <t>Média Mensal</t>
        </is>
      </c>
      <c r="C7" s="24" t="inlineStr">
        <is>
          <t>% do Faturamento</t>
        </is>
      </c>
    </row>
    <row r="8">
      <c r="A8" t="inlineStr">
        <is>
          <t>Material Direto</t>
        </is>
      </c>
      <c r="B8" s="25">
        <f>AVERAGE('4. Custos Variáveis'!B4:D4)</f>
        <v/>
      </c>
      <c r="C8" s="26">
        <f>B8/AVERAGE('3. Faturamento 3 Meses'!B4:D4)</f>
        <v/>
      </c>
    </row>
    <row r="9">
      <c r="A9" t="inlineStr">
        <is>
          <t>Mão de Obra Direta</t>
        </is>
      </c>
      <c r="B9" s="25">
        <f>AVERAGE('4. Custos Variáveis'!B5:D5)</f>
        <v/>
      </c>
      <c r="C9" s="26">
        <f>B9/AVERAGE('3. Faturamento 3 Meses'!B4:D4)</f>
        <v/>
      </c>
    </row>
    <row r="10">
      <c r="A10" t="inlineStr">
        <is>
          <t>Perda Técnica</t>
        </is>
      </c>
      <c r="B10" s="25">
        <f>AVERAGE('4. Custos Variáveis'!B8:D8)</f>
        <v/>
      </c>
      <c r="C10" s="26">
        <f>B10/AVERAGE('3. Faturamento 3 Meses'!B4:D4)</f>
        <v/>
      </c>
    </row>
    <row r="13">
      <c r="A13" s="23" t="inlineStr">
        <is>
          <t>🔴 TOP 3 CUSTOS FIXOS (média dos 3 meses)</t>
        </is>
      </c>
    </row>
    <row r="15">
      <c r="A15" s="24" t="inlineStr">
        <is>
          <t>Item</t>
        </is>
      </c>
      <c r="B15" s="24" t="inlineStr">
        <is>
          <t>Média Mensal</t>
        </is>
      </c>
      <c r="C15" s="24" t="inlineStr">
        <is>
          <t>% do Faturamento</t>
        </is>
      </c>
    </row>
    <row r="16">
      <c r="A16" t="inlineStr">
        <is>
          <t>Folha Administrativa</t>
        </is>
      </c>
      <c r="B16" s="25">
        <f>AVERAGE('5. Custos Fixos'!B5:D5)</f>
        <v/>
      </c>
      <c r="C16" s="26">
        <f>B16/AVERAGE('3. Faturamento 3 Meses'!B4:D4)</f>
        <v/>
      </c>
    </row>
    <row r="17">
      <c r="A17" t="inlineStr">
        <is>
          <t>Pró-labore do Dono</t>
        </is>
      </c>
      <c r="B17" s="25">
        <f>AVERAGE('5. Custos Fixos'!B12:D12)</f>
        <v/>
      </c>
      <c r="C17" s="26">
        <f>B17/AVERAGE('3. Faturamento 3 Meses'!B4:D4)</f>
        <v/>
      </c>
    </row>
    <row r="18">
      <c r="A18" t="inlineStr">
        <is>
          <t>Aluguel / IPTU</t>
        </is>
      </c>
      <c r="B18" s="25">
        <f>AVERAGE('5. Custos Fixos'!B4:D4)</f>
        <v/>
      </c>
      <c r="C18" s="26">
        <f>B18/AVERAGE('3. Faturamento 3 Meses'!B4:D4)</f>
        <v/>
      </c>
    </row>
    <row r="21">
      <c r="A21" s="2" t="inlineStr">
        <is>
          <t>💡 RECOMENDAÇÕES:</t>
        </is>
      </c>
    </row>
    <row r="23">
      <c r="A23" s="4" t="inlineStr">
        <is>
          <t>✅ Material Direto alto? → Negocie com fornecedor, compare preços, otimize corte</t>
        </is>
      </c>
    </row>
    <row r="24">
      <c r="A24" s="4" t="inlineStr">
        <is>
          <t>✅ Mão de Obra alta? → Valide se você tá precificando certo (fator de complexidade)</t>
        </is>
      </c>
    </row>
    <row r="25">
      <c r="A25" s="4" t="inlineStr">
        <is>
          <t>✅ Perda Técnica alta? → Use software de corte, crie checklist de validação</t>
        </is>
      </c>
    </row>
    <row r="26">
      <c r="A26" s="4" t="inlineStr">
        <is>
          <t>✅ Folha Administrativa alta? → Valide se todos são necessários, pode terceirizar algo?</t>
        </is>
      </c>
    </row>
    <row r="27">
      <c r="A27" s="4" t="inlineStr">
        <is>
          <t>✅ Pró-labore alto? → Ajuste conforme faturamento (8-12% do faturamento é razoável)</t>
        </is>
      </c>
    </row>
  </sheetData>
  <mergeCells count="7">
    <mergeCell ref="A26:E26"/>
    <mergeCell ref="A24:E24"/>
    <mergeCell ref="A25:E25"/>
    <mergeCell ref="A1:E1"/>
    <mergeCell ref="A23:E23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FLUXO DE CAIXA (PROJEÇÃO 6 MESES)</t>
        </is>
      </c>
    </row>
    <row r="3">
      <c r="A3" s="14" t="inlineStr">
        <is>
          <t>Item</t>
        </is>
      </c>
      <c r="B3" s="14" t="inlineStr">
        <is>
          <t>Mês 1</t>
        </is>
      </c>
      <c r="C3" s="14" t="inlineStr">
        <is>
          <t>Mês 2</t>
        </is>
      </c>
      <c r="D3" s="14" t="inlineStr">
        <is>
          <t>Mês 3</t>
        </is>
      </c>
      <c r="E3" s="14" t="inlineStr">
        <is>
          <t>Mês 4</t>
        </is>
      </c>
      <c r="F3" s="14" t="inlineStr">
        <is>
          <t>Mês 5</t>
        </is>
      </c>
      <c r="G3" s="14" t="inlineStr">
        <is>
          <t>Mês 6</t>
        </is>
      </c>
    </row>
    <row r="4">
      <c r="A4" s="6" t="inlineStr">
        <is>
          <t>Saldo Inicial</t>
        </is>
      </c>
      <c r="B4" s="9" t="n"/>
      <c r="C4" s="11">
        <f>B13</f>
        <v/>
      </c>
      <c r="D4" s="11">
        <f>C13</f>
        <v/>
      </c>
      <c r="E4" s="11">
        <f>D13</f>
        <v/>
      </c>
      <c r="F4" s="11">
        <f>E13</f>
        <v/>
      </c>
      <c r="G4" s="11">
        <f>F13</f>
        <v/>
      </c>
    </row>
    <row r="5">
      <c r="A5" t="inlineStr">
        <is>
          <t>+ Faturamento Recebido</t>
        </is>
      </c>
      <c r="B5" s="9" t="n"/>
      <c r="C5" s="9" t="n"/>
      <c r="D5" s="9" t="n"/>
      <c r="E5" s="9" t="n"/>
      <c r="F5" s="9" t="n"/>
      <c r="G5" s="9" t="n"/>
    </row>
    <row r="6">
      <c r="A6" t="inlineStr">
        <is>
          <t>- Material</t>
        </is>
      </c>
      <c r="B6" s="9" t="n"/>
      <c r="C6" s="9" t="n"/>
      <c r="D6" s="9" t="n"/>
      <c r="E6" s="9" t="n"/>
      <c r="F6" s="9" t="n"/>
      <c r="G6" s="9" t="n"/>
    </row>
    <row r="7">
      <c r="A7" t="inlineStr">
        <is>
          <t>- Mão de Obra</t>
        </is>
      </c>
      <c r="B7" s="9" t="n"/>
      <c r="C7" s="9" t="n"/>
      <c r="D7" s="9" t="n"/>
      <c r="E7" s="9" t="n"/>
      <c r="F7" s="9" t="n"/>
      <c r="G7" s="9" t="n"/>
    </row>
    <row r="8">
      <c r="A8" t="inlineStr">
        <is>
          <t>- Custos Fixos</t>
        </is>
      </c>
      <c r="B8" s="9" t="n"/>
      <c r="C8" s="9" t="n"/>
      <c r="D8" s="9" t="n"/>
      <c r="E8" s="9" t="n"/>
      <c r="F8" s="9" t="n"/>
      <c r="G8" s="9" t="n"/>
    </row>
    <row r="9">
      <c r="A9" t="inlineStr">
        <is>
          <t>- Impostos</t>
        </is>
      </c>
      <c r="B9" s="9" t="n"/>
      <c r="C9" s="9" t="n"/>
      <c r="D9" s="9" t="n"/>
      <c r="E9" s="9" t="n"/>
      <c r="F9" s="9" t="n"/>
      <c r="G9" s="9" t="n"/>
    </row>
    <row r="10">
      <c r="A10" s="6">
        <f> Total Saídas</f>
        <v/>
      </c>
      <c r="B10" s="27">
        <f>SUM(B6:B9)</f>
        <v/>
      </c>
      <c r="C10" s="27">
        <f>SUM(C6:C9)</f>
        <v/>
      </c>
      <c r="D10" s="27">
        <f>SUM(D6:D9)</f>
        <v/>
      </c>
      <c r="E10" s="27">
        <f>SUM(E6:E9)</f>
        <v/>
      </c>
      <c r="F10" s="27">
        <f>SUM(F6:F9)</f>
        <v/>
      </c>
      <c r="G10" s="27">
        <f>SUM(G6:G9)</f>
        <v/>
      </c>
    </row>
    <row r="12">
      <c r="A12" s="28">
        <f> Resultado do Mês</f>
        <v/>
      </c>
      <c r="B12" s="13">
        <f>B5-B10</f>
        <v/>
      </c>
      <c r="C12" s="13">
        <f>C5-C10</f>
        <v/>
      </c>
      <c r="D12" s="13">
        <f>D5-D10</f>
        <v/>
      </c>
      <c r="E12" s="13">
        <f>E5-E10</f>
        <v/>
      </c>
      <c r="F12" s="13">
        <f>F5-F10</f>
        <v/>
      </c>
      <c r="G12" s="13">
        <f>G5-G10</f>
        <v/>
      </c>
    </row>
    <row r="13">
      <c r="A13" s="16">
        <f> SALDO FINAL</f>
        <v/>
      </c>
      <c r="B13" s="29">
        <f>B4+B12</f>
        <v/>
      </c>
      <c r="C13" s="29">
        <f>C4+C12</f>
        <v/>
      </c>
      <c r="D13" s="29">
        <f>D4+D12</f>
        <v/>
      </c>
      <c r="E13" s="29">
        <f>E4+E12</f>
        <v/>
      </c>
      <c r="F13" s="29">
        <f>F4+F12</f>
        <v/>
      </c>
      <c r="G13" s="29">
        <f>G4+G12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5" t="inlineStr">
        <is>
          <t>DRE GERENCIAL (DEMONSTRAÇÃO DO RESULTADO DO EXERCÍCIO)</t>
        </is>
      </c>
    </row>
    <row r="4">
      <c r="A4" s="16" t="inlineStr">
        <is>
          <t>(+) FATURAMENTO BRUTO</t>
        </is>
      </c>
      <c r="B4" s="29">
        <f>'3. Faturamento 3 Meses'!B7</f>
        <v/>
      </c>
    </row>
    <row r="5"/>
    <row r="6">
      <c r="A6" s="4" t="inlineStr">
        <is>
          <t>(-) DEDUÇÕES</t>
        </is>
      </c>
    </row>
    <row r="7">
      <c r="A7" s="4" t="inlineStr">
        <is>
          <t xml:space="preserve">    Impostos sobre venda</t>
        </is>
      </c>
      <c r="B7" s="25">
        <f>'3. Faturamento 3 Meses'!D7</f>
        <v/>
      </c>
    </row>
    <row r="8"/>
    <row r="9">
      <c r="A9" s="16" t="inlineStr">
        <is>
          <t>(=) RECEITA LÍQUIDA</t>
        </is>
      </c>
      <c r="B9" s="29">
        <f>B4-B7</f>
        <v/>
      </c>
    </row>
    <row r="10"/>
    <row r="11">
      <c r="A11" s="4" t="inlineStr">
        <is>
          <t>(-) CUSTOS VARIÁVEIS (CMV)</t>
        </is>
      </c>
    </row>
    <row r="12">
      <c r="A12" s="4" t="inlineStr">
        <is>
          <t xml:space="preserve">    Material + MO + Terceirizações</t>
        </is>
      </c>
      <c r="B12" s="25">
        <f>'4. Custos Variáveis'!B9</f>
        <v/>
      </c>
    </row>
    <row r="13"/>
    <row r="14">
      <c r="A14" s="16" t="inlineStr">
        <is>
          <t>(=) MARGEM DE CONTRIBUIÇÃO</t>
        </is>
      </c>
      <c r="B14" s="29">
        <f>B9-B12</f>
        <v/>
      </c>
    </row>
    <row r="15">
      <c r="A15" s="16" t="inlineStr">
        <is>
          <t xml:space="preserve">    % Margem de Contribuição</t>
        </is>
      </c>
      <c r="B15" s="30">
        <f>B14/B4</f>
        <v/>
      </c>
    </row>
    <row r="16"/>
    <row r="17">
      <c r="A17" s="4" t="inlineStr">
        <is>
          <t>(-) CUSTOS FIXOS</t>
        </is>
      </c>
    </row>
    <row r="18">
      <c r="A18" s="4" t="inlineStr">
        <is>
          <t xml:space="preserve">    Despesas Operacionais</t>
        </is>
      </c>
      <c r="B18" s="25">
        <f>'5. Custos Fixos'!B13</f>
        <v/>
      </c>
    </row>
    <row r="19"/>
    <row r="20">
      <c r="A20" s="16" t="inlineStr">
        <is>
          <t>(=) EBITDA</t>
        </is>
      </c>
      <c r="B20" s="29">
        <f>B14-B18</f>
        <v/>
      </c>
    </row>
    <row r="21">
      <c r="A21" s="16" t="inlineStr">
        <is>
          <t xml:space="preserve">    % EBITDA</t>
        </is>
      </c>
      <c r="B21" s="30">
        <f>B21/B4</f>
        <v/>
      </c>
    </row>
    <row r="22"/>
    <row r="23">
      <c r="A23" s="4" t="inlineStr">
        <is>
          <t>(-) CUSTOS FINANCEIROS</t>
        </is>
      </c>
    </row>
    <row r="24">
      <c r="A24" s="4" t="inlineStr">
        <is>
          <t xml:space="preserve">    Juros + Taxas Bancárias</t>
        </is>
      </c>
      <c r="B24" s="25" t="inlineStr">
        <is>
          <t>0</t>
        </is>
      </c>
    </row>
    <row r="25"/>
    <row r="26">
      <c r="A26" s="4" t="inlineStr">
        <is>
          <t>(-) PRÓ-LABORE DO DONO</t>
        </is>
      </c>
    </row>
    <row r="27">
      <c r="A27" s="4" t="inlineStr">
        <is>
          <t xml:space="preserve">    Retirada do Gestor</t>
        </is>
      </c>
      <c r="B27" s="25">
        <f>'5. Custos Fixos'!B12</f>
        <v/>
      </c>
    </row>
    <row r="28"/>
    <row r="29">
      <c r="A29" s="16" t="inlineStr">
        <is>
          <t>(=) LUCRO LÍQUIDO REAL</t>
        </is>
      </c>
      <c r="B29" s="29">
        <f>B21-B25-B29</f>
        <v/>
      </c>
    </row>
    <row r="30">
      <c r="A30" s="16" t="inlineStr">
        <is>
          <t xml:space="preserve">    % Margem Líquida</t>
        </is>
      </c>
      <c r="B30" s="30">
        <f>B32/B4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20" customWidth="1" min="4" max="4"/>
  </cols>
  <sheetData>
    <row r="1">
      <c r="A1" s="5" t="inlineStr">
        <is>
          <t>PROJEÇÕES (3 CENÁRIOS)</t>
        </is>
      </c>
    </row>
    <row r="3">
      <c r="A3" t="inlineStr">
        <is>
          <t>Com base nos dados dos últimos 3 meses, aqui estão 3 cenários de projeção:</t>
        </is>
      </c>
    </row>
    <row r="5">
      <c r="A5" s="31" t="inlineStr">
        <is>
          <t>Cenário</t>
        </is>
      </c>
      <c r="B5" s="31" t="inlineStr">
        <is>
          <t>Faturamento Mês 4</t>
        </is>
      </c>
      <c r="C5" s="31" t="inlineStr">
        <is>
          <t>Margem Líquida</t>
        </is>
      </c>
      <c r="D5" s="31" t="inlineStr">
        <is>
          <t>Lucro Estimado</t>
        </is>
      </c>
    </row>
    <row r="6">
      <c r="A6" s="6" t="inlineStr">
        <is>
          <t>🔴 PESSIMISTA (-10%)</t>
        </is>
      </c>
      <c r="B6" s="25">
        <f>AVERAGE('3. Faturamento 3 Meses'!B4:D4)*0.9</f>
        <v/>
      </c>
      <c r="C6" s="26">
        <f>'6. Análise de Margem'!B19*0.9</f>
        <v/>
      </c>
      <c r="D6" s="32">
        <f>B6*C6</f>
        <v/>
      </c>
    </row>
    <row r="7">
      <c r="A7" s="6" t="inlineStr">
        <is>
          <t>🟡 REALISTA (média)</t>
        </is>
      </c>
      <c r="B7" s="25">
        <f>AVERAGE('3. Faturamento 3 Meses'!B4:D4)</f>
        <v/>
      </c>
      <c r="C7" s="26">
        <f>'6. Análise de Margem'!B19</f>
        <v/>
      </c>
      <c r="D7" s="32">
        <f>B7*C7</f>
        <v/>
      </c>
    </row>
    <row r="8">
      <c r="A8" s="6" t="inlineStr">
        <is>
          <t>🟢 OTIMISTA (+20%)</t>
        </is>
      </c>
      <c r="B8" s="25">
        <f>AVERAGE('3. Faturamento 3 Meses'!B4:D4)*1.2</f>
        <v/>
      </c>
      <c r="C8" s="26">
        <f>'6. Análise de Margem'!B19*1.1</f>
        <v/>
      </c>
      <c r="D8" s="32">
        <f>B8*C8</f>
        <v/>
      </c>
    </row>
  </sheetData>
  <mergeCells count="2">
    <mergeCell ref="A1:D1"/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 ht="35" customHeight="1">
      <c r="A1" s="33" t="inlineStr">
        <is>
          <t>📊 DASHBOARD EXECUTIVO</t>
        </is>
      </c>
    </row>
    <row r="3" ht="20" customHeight="1">
      <c r="A3" s="34" t="inlineStr">
        <is>
          <t>FATURAMENTO MÉDIO</t>
        </is>
      </c>
      <c r="D3" s="35" t="inlineStr">
        <is>
          <t>MARGEM CONTRIBUIÇÃO</t>
        </is>
      </c>
      <c r="G3" s="36" t="inlineStr">
        <is>
          <t>MARGEM LÍQUIDA</t>
        </is>
      </c>
    </row>
    <row r="4" ht="30" customHeight="1"/>
    <row r="6">
      <c r="A6" s="2" t="inlineStr">
        <is>
          <t>📈 Evolução de Faturamento (3 meses)</t>
        </is>
      </c>
    </row>
    <row r="8">
      <c r="A8" s="6" t="inlineStr">
        <is>
          <t>Mês</t>
        </is>
      </c>
      <c r="B8" s="6" t="inlineStr">
        <is>
          <t>Faturamento</t>
        </is>
      </c>
    </row>
    <row r="9">
      <c r="A9" t="inlineStr">
        <is>
          <t>Mês 1</t>
        </is>
      </c>
      <c r="B9" s="37">
        <f>'3. Faturamento 3 Meses'!B4</f>
        <v/>
      </c>
    </row>
    <row r="10">
      <c r="A10" t="inlineStr">
        <is>
          <t>Mês 2</t>
        </is>
      </c>
      <c r="B10" s="37">
        <f>'3. Faturamento 3 Meses'!B5</f>
        <v/>
      </c>
    </row>
    <row r="11">
      <c r="A11" t="inlineStr">
        <is>
          <t>Mês 3</t>
        </is>
      </c>
      <c r="B11" s="37">
        <f>'3. Faturamento 3 Meses'!B6</f>
        <v/>
      </c>
    </row>
    <row r="13">
      <c r="A13" s="2" t="inlineStr">
        <is>
          <t>💡 ANÁLISE RÁPIDA:</t>
        </is>
      </c>
    </row>
    <row r="15">
      <c r="A15" s="6" t="inlineStr">
        <is>
          <t>Status Geral:</t>
        </is>
      </c>
      <c r="B15" s="38">
        <f>IF('6. Análise de Margem'!B19&gt;=0.25,"✅ Lucratividade saudável",IF('6. Análise de Margem'!B19&gt;=0.15,"⚠️ Margem apertada","🔴 Situação crítica"))</f>
        <v/>
      </c>
    </row>
    <row r="16">
      <c r="A16" s="6" t="inlineStr">
        <is>
          <t>Tendência:</t>
        </is>
      </c>
      <c r="B16" s="38">
        <f>IF('3. Faturamento 3 Meses'!D4&gt;'3. Faturamento 3 Meses'!B4,"📈 Crescendo","📉 Caindo")</f>
        <v/>
      </c>
    </row>
    <row r="17">
      <c r="A17" s="6" t="inlineStr">
        <is>
          <t>Ação Imediata:</t>
        </is>
      </c>
      <c r="B17" s="38" t="inlineStr">
        <is>
          <t>"Revisar os 3 maiores custos (aba Sangrias)"</t>
        </is>
      </c>
    </row>
  </sheetData>
  <mergeCells count="10">
    <mergeCell ref="B17:E17"/>
    <mergeCell ref="D4:F4"/>
    <mergeCell ref="B16:E16"/>
    <mergeCell ref="B15:E15"/>
    <mergeCell ref="D3:F3"/>
    <mergeCell ref="A3:C3"/>
    <mergeCell ref="G3:I3"/>
    <mergeCell ref="G4:I4"/>
    <mergeCell ref="A1:H1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5" t="inlineStr">
        <is>
          <t>📖 GLOSSÁRIO DE TERMOS FINANCEIROS</t>
        </is>
      </c>
    </row>
    <row r="3">
      <c r="A3" s="31" t="inlineStr">
        <is>
          <t>Termo</t>
        </is>
      </c>
      <c r="B3" s="31" t="inlineStr">
        <is>
          <t>O que significa</t>
        </is>
      </c>
    </row>
    <row r="4">
      <c r="A4" s="3" t="inlineStr">
        <is>
          <t>Faturamento Bruto</t>
        </is>
      </c>
      <c r="B4" s="39" t="inlineStr">
        <is>
          <t>Total de vendas realizadas no mês (mesmo que ainda não tenha recebido)</t>
        </is>
      </c>
    </row>
    <row r="5">
      <c r="A5" s="3" t="inlineStr">
        <is>
          <t>Receita Líquida</t>
        </is>
      </c>
      <c r="B5" s="39" t="inlineStr">
        <is>
          <t>Faturamento bruto menos impostos sobre vendas</t>
        </is>
      </c>
    </row>
    <row r="6">
      <c r="A6" s="3" t="inlineStr">
        <is>
          <t>Custos Variáveis (CMV)</t>
        </is>
      </c>
      <c r="B6" s="39" t="inlineStr">
        <is>
          <t>Custos que variam conforme a produção: material, mão de obra direta, terceirizações</t>
        </is>
      </c>
    </row>
    <row r="7">
      <c r="A7" s="3" t="inlineStr">
        <is>
          <t>Margem de Contribuição</t>
        </is>
      </c>
      <c r="B7" s="39" t="inlineStr">
        <is>
          <t>Quanto sobra depois de pagar material e mão de obra. Ideal: 60-70%</t>
        </is>
      </c>
    </row>
    <row r="8">
      <c r="A8" s="3" t="inlineStr">
        <is>
          <t>Custos Fixos</t>
        </is>
      </c>
      <c r="B8" s="39" t="inlineStr">
        <is>
          <t>Custos que você paga todo mês, produzindo ou não: aluguel, folha, luz, contador</t>
        </is>
      </c>
    </row>
    <row r="9">
      <c r="A9" s="3" t="inlineStr">
        <is>
          <t>EBITDA</t>
        </is>
      </c>
      <c r="B9" s="39" t="inlineStr">
        <is>
          <t>Lucro operacional antes de juros e impostos não-operacionais</t>
        </is>
      </c>
    </row>
    <row r="10">
      <c r="A10" s="3" t="inlineStr">
        <is>
          <t>Lucro Líquido</t>
        </is>
      </c>
      <c r="B10" s="39" t="inlineStr">
        <is>
          <t>Quanto sobra MESMO depois de pagar absolutamente tudo (incluindo pró-labore)</t>
        </is>
      </c>
    </row>
    <row r="11">
      <c r="A11" s="3" t="inlineStr">
        <is>
          <t>Margem Líquida</t>
        </is>
      </c>
      <c r="B11" s="39" t="inlineStr">
        <is>
          <t>Lucro líquido dividido pelo faturamento. Ideal: 25-35%</t>
        </is>
      </c>
    </row>
    <row r="12">
      <c r="A12" s="3" t="inlineStr">
        <is>
          <t>Ponto de Equilíbrio</t>
        </is>
      </c>
      <c r="B12" s="39" t="inlineStr">
        <is>
          <t>Quanto você precisa faturar no mínimo pra não ter prejuízo (nem lucro, nem perda)</t>
        </is>
      </c>
    </row>
    <row r="13">
      <c r="A13" s="3" t="inlineStr">
        <is>
          <t>Fluxo de Caixa</t>
        </is>
      </c>
      <c r="B13" s="39" t="inlineStr">
        <is>
          <t>Entradas e saídas de dinheiro mês a mês. Mostra se você vai ter dinheiro no banco</t>
        </is>
      </c>
    </row>
    <row r="14">
      <c r="A14" s="3" t="inlineStr">
        <is>
          <t>DRE</t>
        </is>
      </c>
      <c r="B14" s="39" t="inlineStr">
        <is>
          <t>Demonstração do Resultado: mostra de onde vem e pra onde vai cada centavo</t>
        </is>
      </c>
    </row>
    <row r="15">
      <c r="A15" s="3" t="inlineStr">
        <is>
          <t>Pró-labore</t>
        </is>
      </c>
      <c r="B15" s="39" t="inlineStr">
        <is>
          <t>Salário do dono como gestor da empresa. Precisa contar no DRE</t>
        </is>
      </c>
    </row>
    <row r="16">
      <c r="A16" s="3" t="inlineStr">
        <is>
          <t>Perda Técnica</t>
        </is>
      </c>
      <c r="B16" s="39" t="inlineStr">
        <is>
          <t>Material que se perde no processo (sobra de corte, erro, refugo). Média: 10-15%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2026-04-22T02:14:53Z</dcterms:created>
  <dcterms:modified xmlns:dcterms="http://purl.org/dc/terms/" xmlns:xsi="http://www.w3.org/2001/XMLSchema-instance" xsi:type="dcterms:W3CDTF">2026-04-22T02:17:18Z</dcterms:modified>
</cp:coreProperties>
</file>